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zscq\Documents\GitHub\crvframe\service\apps\smartlockv2\"/>
    </mc:Choice>
  </mc:AlternateContent>
  <xr:revisionPtr revIDLastSave="0" documentId="13_ncr:1_{4099D4F8-FC9D-45CA-B9BA-77A59058D405}" xr6:coauthVersionLast="47" xr6:coauthVersionMax="47" xr10:uidLastSave="{00000000-0000-0000-0000-000000000000}"/>
  <bookViews>
    <workbookView xWindow="-120" yWindow="-120" windowWidth="29040" windowHeight="15720" tabRatio="848" activeTab="3" xr2:uid="{00000000-000D-0000-FFFF-FFFF00000000}"/>
  </bookViews>
  <sheets>
    <sheet name="概要" sheetId="67" r:id="rId1"/>
    <sheet name="目录" sheetId="68" r:id="rId2"/>
    <sheet name="sl_person" sheetId="18" r:id="rId3"/>
    <sheet name="sl_lock_authorization" sheetId="165" r:id="rId4"/>
    <sheet name="sl_lock_authorization_sl_person" sheetId="167" r:id="rId5"/>
    <sheet name="sl_lock_sl_lock_authorization" sheetId="166" r:id="rId6"/>
    <sheet name="sl_application_sl_key_authoriza" sheetId="168" r:id="rId7"/>
    <sheet name="sl_key_authorization" sheetId="164" r:id="rId8"/>
    <sheet name="sl_application_sl_person" sheetId="170" r:id="rId9"/>
    <sheet name="sl_application_sl_lock" sheetId="169" r:id="rId10"/>
    <sheet name="sl_application" sheetId="163" r:id="rId11"/>
    <sheet name="sl_lock_status_record" sheetId="162" r:id="rId12"/>
    <sheet name="sl_lock" sheetId="159" r:id="rId13"/>
    <sheet name="sl_lock_hub" sheetId="171" r:id="rId14"/>
    <sheet name="sl_key_controller" sheetId="161" r:id="rId15"/>
    <sheet name="sl_key" sheetId="160" r:id="rId16"/>
    <sheet name="sl_area_type" sheetId="158" r:id="rId17"/>
    <sheet name="ER图" sheetId="69" state="hidden" r:id="rId18"/>
    <sheet name="sl_room" sheetId="157" r:id="rId19"/>
    <sheet name="field" sheetId="114" state="hidden" r:id="rId20"/>
  </sheets>
  <definedNames>
    <definedName name="_xlnm.Print_Area" localSheetId="19">field!$A$1:$I$17</definedName>
    <definedName name="_xlnm.Print_Area" localSheetId="2">sl_person!$A$1:$L$23</definedName>
    <definedName name="_xlnm.Print_Area" localSheetId="1">目录!$A$1:$H$25</definedName>
  </definedNames>
  <calcPr calcId="191029"/>
</workbook>
</file>

<file path=xl/calcChain.xml><?xml version="1.0" encoding="utf-8"?>
<calcChain xmlns="http://schemas.openxmlformats.org/spreadsheetml/2006/main">
  <c r="J6" i="165" l="1"/>
  <c r="I6" i="165"/>
  <c r="J5" i="160"/>
  <c r="J6" i="160"/>
  <c r="I5" i="160"/>
  <c r="I6" i="160"/>
  <c r="J4" i="171"/>
  <c r="J5" i="171"/>
  <c r="J6" i="171"/>
  <c r="J7" i="171"/>
  <c r="J8" i="171"/>
  <c r="J9" i="171"/>
  <c r="J10" i="171"/>
  <c r="I8" i="159"/>
  <c r="I9" i="159"/>
  <c r="I10" i="159"/>
  <c r="J9" i="159"/>
  <c r="J8" i="159"/>
  <c r="L9" i="159"/>
  <c r="L8" i="159"/>
  <c r="J10" i="159"/>
  <c r="L10" i="159"/>
  <c r="I11" i="159"/>
  <c r="J11" i="159"/>
  <c r="K11" i="159"/>
  <c r="L11" i="159"/>
  <c r="I12" i="159"/>
  <c r="J12" i="159"/>
  <c r="K12" i="159"/>
  <c r="L12" i="159"/>
  <c r="I13" i="159"/>
  <c r="J13" i="159"/>
  <c r="K13" i="159"/>
  <c r="L13" i="159"/>
  <c r="I14" i="159"/>
  <c r="J14" i="159"/>
  <c r="K14" i="159"/>
  <c r="L14" i="159"/>
  <c r="I15" i="159"/>
  <c r="J15" i="159"/>
  <c r="K15" i="159"/>
  <c r="L15" i="159"/>
  <c r="I16" i="159"/>
  <c r="F19" i="68"/>
  <c r="I11" i="171"/>
  <c r="L10" i="171"/>
  <c r="K10" i="171"/>
  <c r="I10" i="171"/>
  <c r="L9" i="171"/>
  <c r="K9" i="171"/>
  <c r="I9" i="171"/>
  <c r="L8" i="171"/>
  <c r="K8" i="171"/>
  <c r="I8" i="171"/>
  <c r="L7" i="171"/>
  <c r="K7" i="171"/>
  <c r="I7" i="171"/>
  <c r="L6" i="171"/>
  <c r="K6" i="171"/>
  <c r="I6" i="171"/>
  <c r="L5" i="171"/>
  <c r="I5" i="171"/>
  <c r="L4" i="171"/>
  <c r="K4" i="171"/>
  <c r="I4" i="171"/>
  <c r="L3" i="171"/>
  <c r="K3" i="171"/>
  <c r="J3" i="171"/>
  <c r="I3" i="171"/>
  <c r="I1" i="171"/>
  <c r="I4" i="167"/>
  <c r="I5" i="167"/>
  <c r="I6" i="167"/>
  <c r="I7" i="167"/>
  <c r="I8" i="167"/>
  <c r="J7" i="165"/>
  <c r="I7" i="165"/>
  <c r="I8" i="165"/>
  <c r="I9" i="165"/>
  <c r="I10" i="165"/>
  <c r="I11" i="165"/>
  <c r="I12" i="165"/>
  <c r="F16" i="68"/>
  <c r="I4" i="166"/>
  <c r="I5" i="166"/>
  <c r="I6" i="166"/>
  <c r="I7" i="166"/>
  <c r="I8" i="166"/>
  <c r="I9" i="166"/>
  <c r="I10" i="166"/>
  <c r="L4" i="164"/>
  <c r="L5" i="164"/>
  <c r="L6" i="164"/>
  <c r="L7" i="164"/>
  <c r="L8" i="164"/>
  <c r="L9" i="164"/>
  <c r="L10" i="164"/>
  <c r="L11" i="164"/>
  <c r="L12" i="164"/>
  <c r="J4" i="164"/>
  <c r="J5" i="164"/>
  <c r="J6" i="164"/>
  <c r="J7" i="164"/>
  <c r="J8" i="164"/>
  <c r="J9" i="164"/>
  <c r="J10" i="164"/>
  <c r="J11" i="164"/>
  <c r="J12" i="164"/>
  <c r="I4" i="164"/>
  <c r="I5" i="164"/>
  <c r="I6" i="164"/>
  <c r="I8" i="164"/>
  <c r="I9" i="164"/>
  <c r="I10" i="164"/>
  <c r="I11" i="164"/>
  <c r="I12" i="164"/>
  <c r="I4" i="170"/>
  <c r="I5" i="170"/>
  <c r="I6" i="170"/>
  <c r="I7" i="170"/>
  <c r="I8" i="170"/>
  <c r="I9" i="170"/>
  <c r="I10" i="170"/>
  <c r="I4" i="169"/>
  <c r="I5" i="169"/>
  <c r="I6" i="169"/>
  <c r="I7" i="169"/>
  <c r="I8" i="169"/>
  <c r="I9" i="169"/>
  <c r="I10" i="169"/>
  <c r="L4" i="163"/>
  <c r="L5" i="163"/>
  <c r="L7" i="163"/>
  <c r="L8" i="163"/>
  <c r="L9" i="163"/>
  <c r="L10" i="163"/>
  <c r="L11" i="163"/>
  <c r="L12" i="163"/>
  <c r="L13" i="163"/>
  <c r="L14" i="163"/>
  <c r="L15" i="163"/>
  <c r="L16" i="163"/>
  <c r="L17" i="163"/>
  <c r="L18" i="163"/>
  <c r="L19" i="163"/>
  <c r="J4" i="163"/>
  <c r="J5" i="163"/>
  <c r="J7" i="163"/>
  <c r="J8" i="163"/>
  <c r="J9" i="163"/>
  <c r="J10" i="163"/>
  <c r="J11" i="163"/>
  <c r="J12" i="163"/>
  <c r="J13" i="163"/>
  <c r="J14" i="163"/>
  <c r="J15" i="163"/>
  <c r="J16" i="163"/>
  <c r="J17" i="163"/>
  <c r="J18" i="163"/>
  <c r="J19" i="163"/>
  <c r="I7" i="163"/>
  <c r="I8" i="163"/>
  <c r="I9" i="163"/>
  <c r="I10" i="163"/>
  <c r="I11" i="163"/>
  <c r="I12" i="163"/>
  <c r="I13" i="163"/>
  <c r="I14" i="163"/>
  <c r="I15" i="163"/>
  <c r="I16" i="163"/>
  <c r="I17" i="163"/>
  <c r="I18" i="163"/>
  <c r="I19" i="163"/>
  <c r="L4" i="162"/>
  <c r="L5" i="162"/>
  <c r="L6" i="162"/>
  <c r="L7" i="162"/>
  <c r="L8" i="162"/>
  <c r="L9" i="162"/>
  <c r="L10" i="162"/>
  <c r="J4" i="162"/>
  <c r="J5" i="162"/>
  <c r="J6" i="162"/>
  <c r="J7" i="162"/>
  <c r="J8" i="162"/>
  <c r="J9" i="162"/>
  <c r="J10" i="162"/>
  <c r="I4" i="162"/>
  <c r="I5" i="162"/>
  <c r="I6" i="162"/>
  <c r="I7" i="162"/>
  <c r="I8" i="162"/>
  <c r="I9" i="162"/>
  <c r="I10" i="162"/>
  <c r="L4" i="161"/>
  <c r="L5" i="161"/>
  <c r="L6" i="161"/>
  <c r="L7" i="161"/>
  <c r="L8" i="161"/>
  <c r="L9" i="161"/>
  <c r="L10" i="161"/>
  <c r="J4" i="161"/>
  <c r="J5" i="161"/>
  <c r="J6" i="161"/>
  <c r="J7" i="161"/>
  <c r="J8" i="161"/>
  <c r="J9" i="161"/>
  <c r="J10" i="161"/>
  <c r="I4" i="161"/>
  <c r="I5" i="161"/>
  <c r="I6" i="161"/>
  <c r="I7" i="161"/>
  <c r="I8" i="161"/>
  <c r="I9" i="161"/>
  <c r="I10" i="161"/>
  <c r="L4" i="160"/>
  <c r="L6" i="160"/>
  <c r="L7" i="160"/>
  <c r="L8" i="160"/>
  <c r="L9" i="160"/>
  <c r="L10" i="160"/>
  <c r="L11" i="160"/>
  <c r="J4" i="160"/>
  <c r="J7" i="160"/>
  <c r="J8" i="160"/>
  <c r="J9" i="160"/>
  <c r="J10" i="160"/>
  <c r="J11" i="160"/>
  <c r="I4" i="160"/>
  <c r="I7" i="160"/>
  <c r="I8" i="160"/>
  <c r="I9" i="160"/>
  <c r="I10" i="160"/>
  <c r="I11" i="160"/>
  <c r="L4" i="159"/>
  <c r="L5" i="159"/>
  <c r="L6" i="159"/>
  <c r="L7" i="159"/>
  <c r="J4" i="159"/>
  <c r="J5" i="159"/>
  <c r="J6" i="159"/>
  <c r="J7" i="159"/>
  <c r="I4" i="159"/>
  <c r="I5" i="159"/>
  <c r="I6" i="159"/>
  <c r="I7" i="159"/>
  <c r="L4" i="158"/>
  <c r="L5" i="158"/>
  <c r="L6" i="158"/>
  <c r="L7" i="158"/>
  <c r="L8" i="158"/>
  <c r="L9" i="158"/>
  <c r="J4" i="158"/>
  <c r="J5" i="158"/>
  <c r="J6" i="158"/>
  <c r="J7" i="158"/>
  <c r="J8" i="158"/>
  <c r="J9" i="158"/>
  <c r="I4" i="158"/>
  <c r="I5" i="158"/>
  <c r="I6" i="158"/>
  <c r="I7" i="158"/>
  <c r="I8" i="158"/>
  <c r="I9" i="158"/>
  <c r="L4" i="157"/>
  <c r="L5" i="157"/>
  <c r="L6" i="157"/>
  <c r="L7" i="157"/>
  <c r="L8" i="157"/>
  <c r="L9" i="157"/>
  <c r="L10" i="157"/>
  <c r="L11" i="157"/>
  <c r="J4" i="157"/>
  <c r="J5" i="157"/>
  <c r="J6" i="157"/>
  <c r="J7" i="157"/>
  <c r="J8" i="157"/>
  <c r="J9" i="157"/>
  <c r="J10" i="157"/>
  <c r="J11" i="157"/>
  <c r="I4" i="157"/>
  <c r="I5" i="157"/>
  <c r="I6" i="157"/>
  <c r="I7" i="157"/>
  <c r="I8" i="157"/>
  <c r="I9" i="157"/>
  <c r="I10" i="157"/>
  <c r="I11" i="157"/>
  <c r="L4" i="18"/>
  <c r="L5" i="18"/>
  <c r="L6" i="18"/>
  <c r="L7" i="18"/>
  <c r="L8" i="18"/>
  <c r="L9" i="18"/>
  <c r="L10" i="18"/>
  <c r="L11" i="18"/>
  <c r="L12" i="18"/>
  <c r="L13" i="18"/>
  <c r="L14" i="18"/>
  <c r="L15" i="18"/>
  <c r="L16" i="18"/>
  <c r="L17" i="18"/>
  <c r="J17" i="18"/>
  <c r="J4" i="18"/>
  <c r="J5" i="18"/>
  <c r="J6" i="18"/>
  <c r="J7" i="18"/>
  <c r="J8" i="18"/>
  <c r="J9" i="18"/>
  <c r="J10" i="18"/>
  <c r="J11" i="18"/>
  <c r="J12" i="18"/>
  <c r="J13" i="18"/>
  <c r="J14" i="18"/>
  <c r="J15" i="18"/>
  <c r="J16" i="18"/>
  <c r="I4" i="18"/>
  <c r="I5" i="18"/>
  <c r="I6" i="18"/>
  <c r="I7" i="18"/>
  <c r="I8" i="18"/>
  <c r="I9" i="18"/>
  <c r="I10" i="18"/>
  <c r="I11" i="18"/>
  <c r="I12" i="18"/>
  <c r="I13" i="18"/>
  <c r="I14" i="18"/>
  <c r="I15" i="18"/>
  <c r="I16" i="18"/>
  <c r="I17" i="18"/>
  <c r="F18" i="68"/>
  <c r="F17" i="68"/>
  <c r="I11" i="170"/>
  <c r="L10" i="170"/>
  <c r="K10" i="170"/>
  <c r="J10" i="170"/>
  <c r="L9" i="170"/>
  <c r="K9" i="170"/>
  <c r="J9" i="170"/>
  <c r="L8" i="170"/>
  <c r="K8" i="170"/>
  <c r="J8" i="170"/>
  <c r="L7" i="170"/>
  <c r="K7" i="170"/>
  <c r="J7" i="170"/>
  <c r="L6" i="170"/>
  <c r="K6" i="170"/>
  <c r="J6" i="170"/>
  <c r="L4" i="170"/>
  <c r="K4" i="170"/>
  <c r="J4" i="170"/>
  <c r="L3" i="170"/>
  <c r="K3" i="170"/>
  <c r="J3" i="170"/>
  <c r="I3" i="170"/>
  <c r="I1" i="170"/>
  <c r="I11" i="169"/>
  <c r="L10" i="169"/>
  <c r="K10" i="169"/>
  <c r="J10" i="169"/>
  <c r="L9" i="169"/>
  <c r="K9" i="169"/>
  <c r="J9" i="169"/>
  <c r="L8" i="169"/>
  <c r="K8" i="169"/>
  <c r="J8" i="169"/>
  <c r="L7" i="169"/>
  <c r="K7" i="169"/>
  <c r="J7" i="169"/>
  <c r="L6" i="169"/>
  <c r="K6" i="169"/>
  <c r="J6" i="169"/>
  <c r="L4" i="169"/>
  <c r="K4" i="169"/>
  <c r="J4" i="169"/>
  <c r="L3" i="169"/>
  <c r="K3" i="169"/>
  <c r="J3" i="169"/>
  <c r="I3" i="169"/>
  <c r="I1" i="169"/>
  <c r="I11" i="168"/>
  <c r="L10" i="168"/>
  <c r="K10" i="168"/>
  <c r="J10" i="168"/>
  <c r="I10" i="168"/>
  <c r="L9" i="168"/>
  <c r="K9" i="168"/>
  <c r="J9" i="168"/>
  <c r="I9" i="168"/>
  <c r="L8" i="168"/>
  <c r="K8" i="168"/>
  <c r="J8" i="168"/>
  <c r="I8" i="168"/>
  <c r="L7" i="168"/>
  <c r="K7" i="168"/>
  <c r="J7" i="168"/>
  <c r="I7" i="168"/>
  <c r="L6" i="168"/>
  <c r="K6" i="168"/>
  <c r="J6" i="168"/>
  <c r="I6" i="168"/>
  <c r="L4" i="168"/>
  <c r="K4" i="168"/>
  <c r="J4" i="168"/>
  <c r="L3" i="168"/>
  <c r="K3" i="168"/>
  <c r="J3" i="168"/>
  <c r="I3" i="168"/>
  <c r="I1" i="168"/>
  <c r="F15" i="68"/>
  <c r="I11" i="167"/>
  <c r="L10" i="167"/>
  <c r="K10" i="167"/>
  <c r="J10" i="167"/>
  <c r="I10" i="167"/>
  <c r="L9" i="167"/>
  <c r="K9" i="167"/>
  <c r="J9" i="167"/>
  <c r="I9" i="167"/>
  <c r="L8" i="167"/>
  <c r="K8" i="167"/>
  <c r="J8" i="167"/>
  <c r="L7" i="167"/>
  <c r="K7" i="167"/>
  <c r="J7" i="167"/>
  <c r="L6" i="167"/>
  <c r="K6" i="167"/>
  <c r="J6" i="167"/>
  <c r="L4" i="167"/>
  <c r="K4" i="167"/>
  <c r="J4" i="167"/>
  <c r="L3" i="167"/>
  <c r="K3" i="167"/>
  <c r="J3" i="167"/>
  <c r="I3" i="167"/>
  <c r="I1" i="167"/>
  <c r="F14" i="68"/>
  <c r="I11" i="166"/>
  <c r="L10" i="166"/>
  <c r="K10" i="166"/>
  <c r="J10" i="166"/>
  <c r="L9" i="166"/>
  <c r="K9" i="166"/>
  <c r="J9" i="166"/>
  <c r="L8" i="166"/>
  <c r="K8" i="166"/>
  <c r="J8" i="166"/>
  <c r="L7" i="166"/>
  <c r="K7" i="166"/>
  <c r="J7" i="166"/>
  <c r="L6" i="166"/>
  <c r="K6" i="166"/>
  <c r="J6" i="166"/>
  <c r="L4" i="166"/>
  <c r="K4" i="166"/>
  <c r="J4" i="166"/>
  <c r="L3" i="166"/>
  <c r="K3" i="166"/>
  <c r="J3" i="166"/>
  <c r="I3" i="166"/>
  <c r="I1" i="166"/>
  <c r="F13" i="68"/>
  <c r="I13" i="165"/>
  <c r="L12" i="165"/>
  <c r="K12" i="165"/>
  <c r="J12" i="165"/>
  <c r="L11" i="165"/>
  <c r="K11" i="165"/>
  <c r="J11" i="165"/>
  <c r="L10" i="165"/>
  <c r="K10" i="165"/>
  <c r="J10" i="165"/>
  <c r="L9" i="165"/>
  <c r="K9" i="165"/>
  <c r="J9" i="165"/>
  <c r="L8" i="165"/>
  <c r="K8" i="165"/>
  <c r="J8" i="165"/>
  <c r="L4" i="165"/>
  <c r="K4" i="165"/>
  <c r="J4" i="165"/>
  <c r="L3" i="165"/>
  <c r="K3" i="165"/>
  <c r="J3" i="165"/>
  <c r="I3" i="165"/>
  <c r="I1" i="165"/>
  <c r="F12" i="68"/>
  <c r="I13" i="164"/>
  <c r="K12" i="164"/>
  <c r="K11" i="164"/>
  <c r="K10" i="164"/>
  <c r="K9" i="164"/>
  <c r="K8" i="164"/>
  <c r="K4" i="164"/>
  <c r="L3" i="164"/>
  <c r="K3" i="164"/>
  <c r="J3" i="164"/>
  <c r="I3" i="164"/>
  <c r="I1" i="164"/>
  <c r="F11" i="68"/>
  <c r="I20" i="163" l="1"/>
  <c r="K19" i="163"/>
  <c r="K18" i="163"/>
  <c r="K17" i="163"/>
  <c r="K16" i="163"/>
  <c r="K15" i="163"/>
  <c r="K4" i="163"/>
  <c r="L3" i="163"/>
  <c r="K3" i="163"/>
  <c r="J3" i="163"/>
  <c r="I3" i="163"/>
  <c r="I1" i="163"/>
  <c r="F10" i="68"/>
  <c r="I11" i="162"/>
  <c r="K10" i="162"/>
  <c r="K9" i="162"/>
  <c r="K8" i="162"/>
  <c r="K7" i="162"/>
  <c r="K6" i="162"/>
  <c r="K4" i="162"/>
  <c r="L3" i="162"/>
  <c r="K3" i="162"/>
  <c r="J3" i="162"/>
  <c r="I3" i="162"/>
  <c r="I1" i="162"/>
  <c r="F9" i="68"/>
  <c r="I11" i="161"/>
  <c r="K10" i="161"/>
  <c r="K9" i="161"/>
  <c r="K8" i="161"/>
  <c r="K7" i="161"/>
  <c r="K6" i="161"/>
  <c r="K4" i="161"/>
  <c r="L3" i="161"/>
  <c r="K3" i="161"/>
  <c r="J3" i="161"/>
  <c r="I3" i="161"/>
  <c r="I1" i="161"/>
  <c r="F8" i="68"/>
  <c r="I12" i="160" l="1"/>
  <c r="K11" i="160"/>
  <c r="K10" i="160"/>
  <c r="K9" i="160"/>
  <c r="K8" i="160"/>
  <c r="K7" i="160"/>
  <c r="K4" i="160"/>
  <c r="L3" i="160"/>
  <c r="K3" i="160"/>
  <c r="J3" i="160"/>
  <c r="I3" i="160"/>
  <c r="I1" i="160"/>
  <c r="F7" i="68"/>
  <c r="K6" i="159"/>
  <c r="K4" i="159"/>
  <c r="L3" i="159"/>
  <c r="K3" i="159"/>
  <c r="J3" i="159"/>
  <c r="I3" i="159"/>
  <c r="I1" i="159"/>
  <c r="F6" i="68"/>
  <c r="I10" i="158"/>
  <c r="K9" i="158"/>
  <c r="K8" i="158"/>
  <c r="K7" i="158"/>
  <c r="K6" i="158"/>
  <c r="K5" i="158"/>
  <c r="K4" i="158"/>
  <c r="L3" i="158"/>
  <c r="K3" i="158"/>
  <c r="J3" i="158"/>
  <c r="I3" i="158"/>
  <c r="I1" i="158"/>
  <c r="F5" i="68"/>
  <c r="I12" i="157"/>
  <c r="K11" i="157"/>
  <c r="K10" i="157"/>
  <c r="K9" i="157"/>
  <c r="K8" i="157"/>
  <c r="K7" i="157"/>
  <c r="K5" i="157"/>
  <c r="K4" i="157"/>
  <c r="L3" i="157"/>
  <c r="K3" i="157"/>
  <c r="J3" i="157"/>
  <c r="I3" i="157"/>
  <c r="I1" i="157"/>
  <c r="K10" i="18"/>
  <c r="K9" i="18"/>
  <c r="F4" i="68"/>
  <c r="K6" i="18"/>
  <c r="K11" i="18" l="1"/>
  <c r="K13" i="18" l="1"/>
  <c r="K14" i="18"/>
  <c r="K15" i="18"/>
  <c r="K16" i="18"/>
  <c r="K17" i="18"/>
  <c r="K5" i="18"/>
  <c r="K7" i="18"/>
  <c r="K8" i="18"/>
  <c r="K4" i="18" l="1"/>
  <c r="K3" i="18"/>
  <c r="L3" i="18"/>
  <c r="J3" i="18"/>
  <c r="I3" i="18"/>
  <c r="I18" i="18" l="1"/>
  <c r="I1" i="18"/>
</calcChain>
</file>

<file path=xl/sharedStrings.xml><?xml version="1.0" encoding="utf-8"?>
<sst xmlns="http://schemas.openxmlformats.org/spreadsheetml/2006/main" count="1227" uniqueCount="221">
  <si>
    <t>数据库详细设计书</t>
  </si>
  <si>
    <t>功能描述：</t>
  </si>
  <si>
    <t xml:space="preserve">用于数据表设计详细说明内容包括：
1、目录：将文档按照功能分类，列出所有文档的名称，文档名称连接到对应表定义的sheet页，并做文档的作用做简要说明。
2、文档详细定义：一个sheet一个文档，对文档的字段、索引进行详细的定义。
</t>
  </si>
  <si>
    <t>版本号</t>
  </si>
  <si>
    <t>修订日期</t>
  </si>
  <si>
    <t>修订人</t>
  </si>
  <si>
    <t>修订说明</t>
  </si>
  <si>
    <t>项目名称：</t>
  </si>
  <si>
    <t>目录</t>
  </si>
  <si>
    <t>说明</t>
  </si>
  <si>
    <t>版本</t>
  </si>
  <si>
    <t>原表</t>
  </si>
  <si>
    <t>ER图（数据源到工作底稿）</t>
  </si>
  <si>
    <t>表名：</t>
  </si>
  <si>
    <t>说明：</t>
  </si>
  <si>
    <t>字段</t>
  </si>
  <si>
    <t>类型</t>
  </si>
  <si>
    <t>长度</t>
  </si>
  <si>
    <t>精度</t>
  </si>
  <si>
    <t>主键</t>
  </si>
  <si>
    <t>是否为空</t>
  </si>
  <si>
    <t>默认值</t>
  </si>
  <si>
    <t>id</t>
  </si>
  <si>
    <t>Y</t>
  </si>
  <si>
    <t>N</t>
  </si>
  <si>
    <t>version</t>
  </si>
  <si>
    <t>模型版本，控制更新时不能有版本差异</t>
  </si>
  <si>
    <t>创建人</t>
  </si>
  <si>
    <t>创建日期</t>
  </si>
  <si>
    <t>最后更新人</t>
  </si>
  <si>
    <t>最后更新日期</t>
  </si>
  <si>
    <t>name</t>
  </si>
  <si>
    <t>fields</t>
  </si>
  <si>
    <t>Array</t>
  </si>
  <si>
    <t>索引</t>
  </si>
  <si>
    <t>包含字段</t>
  </si>
  <si>
    <t>是否唯一</t>
  </si>
  <si>
    <t>field</t>
  </si>
  <si>
    <t>字段文档</t>
  </si>
  <si>
    <t>retrieve_fields</t>
  </si>
  <si>
    <t>字段配置页面检索字段集合</t>
  </si>
  <si>
    <t>int</t>
  </si>
  <si>
    <t>create_user</t>
  </si>
  <si>
    <t>varchar</t>
  </si>
  <si>
    <t>create_time</t>
  </si>
  <si>
    <t>date</t>
  </si>
  <si>
    <t>last_update_user</t>
  </si>
  <si>
    <t>last_update_time</t>
  </si>
  <si>
    <t>字段配置集合</t>
  </si>
  <si>
    <t>wzs</t>
  </si>
  <si>
    <t>datetime</t>
  </si>
  <si>
    <t>NULL</t>
  </si>
  <si>
    <t>NOT NULL</t>
  </si>
  <si>
    <t>update_time</t>
  </si>
  <si>
    <t>update_user</t>
  </si>
  <si>
    <t>DEFAULT 0</t>
  </si>
  <si>
    <t>记录创建时间</t>
  </si>
  <si>
    <t>记录创建人</t>
  </si>
  <si>
    <t>记录更新时间</t>
  </si>
  <si>
    <t>记录更新人</t>
  </si>
  <si>
    <t>数据版本号</t>
  </si>
  <si>
    <t>字段名称</t>
  </si>
  <si>
    <t>remark</t>
  </si>
  <si>
    <t>表名</t>
  </si>
  <si>
    <t>姓名</t>
  </si>
  <si>
    <t>gender</t>
  </si>
  <si>
    <t>性别</t>
  </si>
  <si>
    <t>男
女</t>
  </si>
  <si>
    <t>备注</t>
  </si>
  <si>
    <t>名称</t>
  </si>
  <si>
    <t>编号</t>
  </si>
  <si>
    <t>人员信息表</t>
  </si>
  <si>
    <t>import_file_name</t>
  </si>
  <si>
    <t>导入文件名称</t>
  </si>
  <si>
    <t>import_batch_number</t>
  </si>
  <si>
    <t>导入批次</t>
  </si>
  <si>
    <t>智能锁管理系统</t>
  </si>
  <si>
    <t>sl_person</t>
  </si>
  <si>
    <t>建议使用员工编号</t>
  </si>
  <si>
    <t>账号</t>
  </si>
  <si>
    <t>department</t>
  </si>
  <si>
    <t>部门</t>
  </si>
  <si>
    <t>单位</t>
  </si>
  <si>
    <t>company</t>
  </si>
  <si>
    <t>position</t>
  </si>
  <si>
    <t>职位</t>
  </si>
  <si>
    <t>phone</t>
  </si>
  <si>
    <t>联系电话</t>
  </si>
  <si>
    <t>email</t>
  </si>
  <si>
    <t>邮箱</t>
  </si>
  <si>
    <t>sl_room</t>
  </si>
  <si>
    <t>机房信息表</t>
  </si>
  <si>
    <t>机房编号</t>
  </si>
  <si>
    <t>location</t>
  </si>
  <si>
    <t>位置</t>
  </si>
  <si>
    <t>sl_area_type</t>
  </si>
  <si>
    <t>区域类型字典</t>
  </si>
  <si>
    <t>sl_lock</t>
  </si>
  <si>
    <t>智能锁</t>
  </si>
  <si>
    <t>锁编号</t>
  </si>
  <si>
    <t>room</t>
  </si>
  <si>
    <t>area_type</t>
  </si>
  <si>
    <t>机房表外键</t>
  </si>
  <si>
    <t>区域类性字典表外键</t>
  </si>
  <si>
    <t>机房</t>
  </si>
  <si>
    <t>区域类型</t>
  </si>
  <si>
    <t>rack</t>
  </si>
  <si>
    <t>机柜</t>
  </si>
  <si>
    <t>可填写机柜编号</t>
  </si>
  <si>
    <t>sl_key</t>
  </si>
  <si>
    <t>智能钥匙</t>
  </si>
  <si>
    <t>钥匙编号</t>
  </si>
  <si>
    <t>智能锁信息表</t>
  </si>
  <si>
    <t>智能钥匙信息表</t>
  </si>
  <si>
    <t>智能钥匙管理机信息表</t>
  </si>
  <si>
    <t>sl_key_controller</t>
  </si>
  <si>
    <t>智能钥匙管理机编号</t>
  </si>
  <si>
    <t>智能钥匙管理机</t>
  </si>
  <si>
    <t>智能锁状态记录表</t>
  </si>
  <si>
    <t>bigint</t>
  </si>
  <si>
    <t>自增ID</t>
  </si>
  <si>
    <t>lock_id</t>
  </si>
  <si>
    <t>智能锁ID</t>
  </si>
  <si>
    <t>智能锁信息表外键</t>
  </si>
  <si>
    <t>status</t>
  </si>
  <si>
    <t>状态/事件</t>
  </si>
  <si>
    <t>sl_lock_status_record</t>
  </si>
  <si>
    <t>sl_application</t>
  </si>
  <si>
    <t>智能锁开锁申请</t>
  </si>
  <si>
    <t>操作人</t>
  </si>
  <si>
    <t>人员表外键</t>
  </si>
  <si>
    <t>approver</t>
  </si>
  <si>
    <t>审批人</t>
  </si>
  <si>
    <t>start_date</t>
  </si>
  <si>
    <t>开始日期</t>
  </si>
  <si>
    <t>end_date</t>
  </si>
  <si>
    <t>截止日期</t>
  </si>
  <si>
    <t>start_time</t>
  </si>
  <si>
    <t>end_time</t>
  </si>
  <si>
    <t>time</t>
  </si>
  <si>
    <t>开始时间</t>
  </si>
  <si>
    <t>截止时间</t>
  </si>
  <si>
    <t>事由说明</t>
  </si>
  <si>
    <t>description</t>
  </si>
  <si>
    <t>状态</t>
  </si>
  <si>
    <t>DEFAULT '0'</t>
  </si>
  <si>
    <t>审批意见</t>
  </si>
  <si>
    <t>智能钥匙管理机表外键</t>
  </si>
  <si>
    <t>智能钥匙表外键</t>
  </si>
  <si>
    <t>sl_key_authorization</t>
  </si>
  <si>
    <t>智能钥匙授权记录表</t>
  </si>
  <si>
    <t>sl_lock_authorization</t>
  </si>
  <si>
    <t>多对多关联智能锁表</t>
  </si>
  <si>
    <t>多对多对应到授权申请表</t>
  </si>
  <si>
    <t>locks</t>
  </si>
  <si>
    <t>对应到智能锁表多对多关联</t>
  </si>
  <si>
    <t>operators</t>
  </si>
  <si>
    <t>多对多关联人员表</t>
  </si>
  <si>
    <t>智能锁远程开启记录表</t>
  </si>
  <si>
    <t>sl_lock_sl_lock_authorization</t>
  </si>
  <si>
    <t>sl_lock_sl_lock_authorization</t>
    <phoneticPr fontId="14" type="noConversion"/>
  </si>
  <si>
    <t>sl_lock_authorization</t>
    <phoneticPr fontId="14" type="noConversion"/>
  </si>
  <si>
    <t>sl_lock_authorization_id</t>
    <phoneticPr fontId="14" type="noConversion"/>
  </si>
  <si>
    <t>授权记录ID</t>
    <phoneticPr fontId="14" type="noConversion"/>
  </si>
  <si>
    <t>智远程开锁对应智能锁关联表</t>
    <phoneticPr fontId="14" type="noConversion"/>
  </si>
  <si>
    <t>sl_lock_authorization_sl_person</t>
  </si>
  <si>
    <t>sl_lock_authorization_sl_person</t>
    <phoneticPr fontId="14" type="noConversion"/>
  </si>
  <si>
    <t>智远程开锁对应施工人员关联表</t>
    <phoneticPr fontId="14" type="noConversion"/>
  </si>
  <si>
    <t>sl_person_id</t>
    <phoneticPr fontId="14" type="noConversion"/>
  </si>
  <si>
    <t>sl_application_sl_key_authorization</t>
    <phoneticPr fontId="14" type="noConversion"/>
  </si>
  <si>
    <t>钥匙授权中对应开锁申请关联表</t>
    <phoneticPr fontId="14" type="noConversion"/>
  </si>
  <si>
    <t>ls_application_id</t>
    <phoneticPr fontId="14" type="noConversion"/>
  </si>
  <si>
    <t>sl_key_authorization_id</t>
    <phoneticPr fontId="14" type="noConversion"/>
  </si>
  <si>
    <t>钥匙授权记录ID</t>
    <phoneticPr fontId="14" type="noConversion"/>
  </si>
  <si>
    <t>开锁申请记录ID</t>
    <phoneticPr fontId="14" type="noConversion"/>
  </si>
  <si>
    <t>智能锁ID</t>
    <phoneticPr fontId="14" type="noConversion"/>
  </si>
  <si>
    <t>人员ID</t>
    <phoneticPr fontId="14" type="noConversion"/>
  </si>
  <si>
    <t>sl_application_sl_key_authoriza</t>
  </si>
  <si>
    <t>sl_application_sl_lock</t>
  </si>
  <si>
    <t>sl_application_sl_lock</t>
    <phoneticPr fontId="14" type="noConversion"/>
  </si>
  <si>
    <t>开锁申请对应智能锁关联表</t>
    <phoneticPr fontId="14" type="noConversion"/>
  </si>
  <si>
    <t>sl_application_id</t>
    <phoneticPr fontId="14" type="noConversion"/>
  </si>
  <si>
    <t>sl_application_sl_person</t>
  </si>
  <si>
    <t>sl_application_sl_person</t>
    <phoneticPr fontId="14" type="noConversion"/>
  </si>
  <si>
    <t>开锁申请对应施工人员关联表</t>
    <phoneticPr fontId="14" type="noConversion"/>
  </si>
  <si>
    <t>sl_key_controller</t>
    <phoneticPr fontId="14" type="noConversion"/>
  </si>
  <si>
    <t>完成状态</t>
    <phoneticPr fontId="12" type="noConversion"/>
  </si>
  <si>
    <t>完成</t>
    <phoneticPr fontId="12" type="noConversion"/>
  </si>
  <si>
    <t>sl_lock_status_record</t>
    <phoneticPr fontId="14" type="noConversion"/>
  </si>
  <si>
    <t>sl_application</t>
    <phoneticPr fontId="14" type="noConversion"/>
  </si>
  <si>
    <t>sl_lock_id</t>
    <phoneticPr fontId="14" type="noConversion"/>
  </si>
  <si>
    <t>0--草稿
1--审批中
2--审批通过
3--审批拒绝</t>
    <phoneticPr fontId="14" type="noConversion"/>
  </si>
  <si>
    <t>status</t>
    <phoneticPr fontId="14" type="noConversion"/>
  </si>
  <si>
    <t>approval_comments</t>
    <phoneticPr fontId="14" type="noConversion"/>
  </si>
  <si>
    <t>sl_key_authorization</t>
    <phoneticPr fontId="14" type="noConversion"/>
  </si>
  <si>
    <t>key_controller_id</t>
    <phoneticPr fontId="14" type="noConversion"/>
  </si>
  <si>
    <t>key_id</t>
    <phoneticPr fontId="14" type="noConversion"/>
  </si>
  <si>
    <t>applications</t>
    <phoneticPr fontId="14" type="noConversion"/>
  </si>
  <si>
    <t>sl_lock_hub</t>
    <phoneticPr fontId="12" type="noConversion"/>
  </si>
  <si>
    <t>sl_lock_hub</t>
    <phoneticPr fontId="14" type="noConversion"/>
  </si>
  <si>
    <t>智能锁网关信息表</t>
    <phoneticPr fontId="12" type="noConversion"/>
  </si>
  <si>
    <t>可以使用网关IP地址</t>
    <phoneticPr fontId="12" type="noConversion"/>
  </si>
  <si>
    <t>ip</t>
    <phoneticPr fontId="12" type="noConversion"/>
  </si>
  <si>
    <t>网关IP</t>
    <phoneticPr fontId="12" type="noConversion"/>
  </si>
  <si>
    <t>master_hub</t>
    <phoneticPr fontId="14" type="noConversion"/>
  </si>
  <si>
    <t>slaver_hub</t>
    <phoneticPr fontId="14" type="noConversion"/>
  </si>
  <si>
    <t>N</t>
    <phoneticPr fontId="14" type="noConversion"/>
  </si>
  <si>
    <t>主网关</t>
    <phoneticPr fontId="14" type="noConversion"/>
  </si>
  <si>
    <t>备份网关</t>
    <phoneticPr fontId="14" type="noConversion"/>
  </si>
  <si>
    <t>ip</t>
    <phoneticPr fontId="14" type="noConversion"/>
  </si>
  <si>
    <t>IP地址</t>
    <phoneticPr fontId="14" type="noConversion"/>
  </si>
  <si>
    <t>controller</t>
    <phoneticPr fontId="14" type="noConversion"/>
  </si>
  <si>
    <t>管理机</t>
    <phoneticPr fontId="14" type="noConversion"/>
  </si>
  <si>
    <t>key_controller</t>
    <phoneticPr fontId="14" type="noConversion"/>
  </si>
  <si>
    <t>钥匙管理机</t>
    <phoneticPr fontId="14" type="noConversion"/>
  </si>
  <si>
    <t>000:门开锁开
001:门开锁关
010:门关锁开
011:门关锁关</t>
    <phoneticPr fontId="14" type="noConversion"/>
  </si>
  <si>
    <t>close_delay</t>
    <phoneticPr fontId="14" type="noConversion"/>
  </si>
  <si>
    <t>闭锁延迟</t>
    <phoneticPr fontId="14" type="noConversion"/>
  </si>
  <si>
    <t>010:10秒
030:30秒
060:60秒</t>
    <phoneticPr fontId="14" type="noConversion"/>
  </si>
  <si>
    <t>varchar</t>
    <phoneticPr fontId="14" type="noConversion"/>
  </si>
  <si>
    <t>DEFAULT '010'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</si>
</sst>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_(* #,##0.00_);_(* \(#,##0.00\);_(* &quot;-&quot;??_);_(@_)"/>
  </numFmts>
  <fonts count="15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name val="等线"/>
      <family val="3"/>
      <charset val="134"/>
      <scheme val="minor"/>
    </font>
    <font>
      <b/>
      <sz val="10"/>
      <name val="微软雅黑"/>
      <family val="2"/>
      <charset val="134"/>
    </font>
    <font>
      <b/>
      <sz val="11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rgb="FFFF0000"/>
      <name val="等线"/>
      <family val="3"/>
      <charset val="134"/>
      <scheme val="minor"/>
    </font>
    <font>
      <u/>
      <sz val="11"/>
      <color theme="10"/>
      <name val="等线"/>
      <family val="3"/>
      <charset val="134"/>
      <scheme val="minor"/>
    </font>
    <font>
      <sz val="10"/>
      <color rgb="FF333333"/>
      <name val="Arial"/>
      <family val="2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2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7" fillId="0" borderId="0" applyNumberFormat="0" applyFill="0" applyBorder="0" applyAlignment="0" applyProtection="0"/>
    <xf numFmtId="43" fontId="10" fillId="0" borderId="0" applyFont="0" applyFill="0" applyBorder="0" applyAlignment="0" applyProtection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 applyNumberFormat="0" applyFill="0" applyAlignment="0" applyProtection="0"/>
    <xf numFmtId="176" fontId="10" fillId="0" borderId="0" applyFont="0" applyFill="0" applyBorder="0" applyAlignment="0" applyProtection="0"/>
    <xf numFmtId="0" fontId="13" fillId="0" borderId="0">
      <alignment vertical="center"/>
    </xf>
    <xf numFmtId="43" fontId="13" fillId="0" borderId="0" applyFont="0" applyFill="0" applyBorder="0" applyAlignment="0" applyProtection="0">
      <alignment vertical="center"/>
    </xf>
  </cellStyleXfs>
  <cellXfs count="70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vertical="center"/>
    </xf>
    <xf numFmtId="0" fontId="2" fillId="0" borderId="1" xfId="0" applyFont="1" applyBorder="1"/>
    <xf numFmtId="0" fontId="4" fillId="3" borderId="1" xfId="0" applyFont="1" applyFill="1" applyBorder="1"/>
    <xf numFmtId="0" fontId="5" fillId="0" borderId="1" xfId="0" applyFont="1" applyBorder="1" applyAlignment="1">
      <alignment horizontal="left" vertical="center"/>
    </xf>
    <xf numFmtId="0" fontId="6" fillId="0" borderId="1" xfId="0" applyFont="1" applyBorder="1"/>
    <xf numFmtId="0" fontId="7" fillId="0" borderId="0" xfId="1"/>
    <xf numFmtId="0" fontId="2" fillId="0" borderId="4" xfId="0" applyFont="1" applyBorder="1"/>
    <xf numFmtId="0" fontId="2" fillId="4" borderId="1" xfId="0" applyFont="1" applyFill="1" applyBorder="1"/>
    <xf numFmtId="0" fontId="0" fillId="0" borderId="1" xfId="0" applyBorder="1" applyAlignment="1">
      <alignment vertical="center"/>
    </xf>
    <xf numFmtId="0" fontId="8" fillId="0" borderId="1" xfId="0" applyFont="1" applyBorder="1"/>
    <xf numFmtId="0" fontId="10" fillId="5" borderId="0" xfId="5" applyFill="1">
      <alignment vertical="center"/>
    </xf>
    <xf numFmtId="0" fontId="10" fillId="6" borderId="6" xfId="5" applyFill="1" applyBorder="1">
      <alignment vertical="center"/>
    </xf>
    <xf numFmtId="0" fontId="0" fillId="5" borderId="0" xfId="5" applyFont="1" applyFill="1">
      <alignment vertical="center"/>
    </xf>
    <xf numFmtId="0" fontId="10" fillId="7" borderId="6" xfId="5" applyFill="1" applyBorder="1">
      <alignment vertical="center"/>
    </xf>
    <xf numFmtId="0" fontId="10" fillId="8" borderId="6" xfId="5" applyFill="1" applyBorder="1">
      <alignment vertical="center"/>
    </xf>
    <xf numFmtId="0" fontId="10" fillId="9" borderId="6" xfId="5" applyFill="1" applyBorder="1">
      <alignment vertical="center"/>
    </xf>
    <xf numFmtId="0" fontId="9" fillId="0" borderId="0" xfId="5" applyFont="1">
      <alignment vertical="center"/>
    </xf>
    <xf numFmtId="0" fontId="9" fillId="0" borderId="1" xfId="5" applyFont="1" applyBorder="1">
      <alignment vertical="center"/>
    </xf>
    <xf numFmtId="0" fontId="10" fillId="0" borderId="0" xfId="5">
      <alignment vertical="center"/>
    </xf>
    <xf numFmtId="0" fontId="2" fillId="5" borderId="1" xfId="0" applyFont="1" applyFill="1" applyBorder="1"/>
    <xf numFmtId="0" fontId="5" fillId="0" borderId="0" xfId="0" applyFont="1" applyAlignment="1">
      <alignment horizontal="left" vertical="center"/>
    </xf>
    <xf numFmtId="0" fontId="7" fillId="0" borderId="1" xfId="1" applyBorder="1" applyAlignment="1">
      <alignment vertical="center"/>
    </xf>
    <xf numFmtId="0" fontId="4" fillId="3" borderId="0" xfId="0" applyFont="1" applyFill="1"/>
    <xf numFmtId="0" fontId="5" fillId="0" borderId="1" xfId="0" applyFont="1" applyBorder="1" applyAlignment="1">
      <alignment horizontal="left" vertical="center" wrapText="1"/>
    </xf>
    <xf numFmtId="0" fontId="7" fillId="0" borderId="1" xfId="1" applyBorder="1"/>
    <xf numFmtId="0" fontId="2" fillId="0" borderId="1" xfId="5" applyFont="1" applyBorder="1">
      <alignment vertical="center"/>
    </xf>
    <xf numFmtId="0" fontId="2" fillId="0" borderId="0" xfId="5" applyFont="1">
      <alignment vertical="center"/>
    </xf>
    <xf numFmtId="0" fontId="0" fillId="5" borderId="1" xfId="0" applyFill="1" applyBorder="1" applyAlignment="1">
      <alignment vertical="top"/>
    </xf>
    <xf numFmtId="0" fontId="2" fillId="11" borderId="1" xfId="0" applyFont="1" applyFill="1" applyBorder="1"/>
    <xf numFmtId="0" fontId="0" fillId="11" borderId="1" xfId="0" applyFill="1" applyBorder="1" applyAlignment="1">
      <alignment vertical="top"/>
    </xf>
    <xf numFmtId="0" fontId="5" fillId="11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left" vertical="center" wrapText="1"/>
    </xf>
    <xf numFmtId="0" fontId="9" fillId="11" borderId="1" xfId="5" applyFont="1" applyFill="1" applyBorder="1">
      <alignment vertical="center"/>
    </xf>
    <xf numFmtId="0" fontId="10" fillId="5" borderId="1" xfId="0" applyFont="1" applyFill="1" applyBorder="1" applyAlignment="1">
      <alignment vertical="top"/>
    </xf>
    <xf numFmtId="0" fontId="2" fillId="12" borderId="1" xfId="0" applyFont="1" applyFill="1" applyBorder="1"/>
    <xf numFmtId="0" fontId="10" fillId="12" borderId="1" xfId="0" applyFont="1" applyFill="1" applyBorder="1" applyAlignment="1">
      <alignment vertical="top"/>
    </xf>
    <xf numFmtId="0" fontId="5" fillId="12" borderId="1" xfId="0" applyFont="1" applyFill="1" applyBorder="1" applyAlignment="1">
      <alignment horizontal="left" vertical="center" wrapText="1"/>
    </xf>
    <xf numFmtId="0" fontId="11" fillId="0" borderId="0" xfId="5" applyFont="1" applyAlignment="1">
      <alignment horizontal="center" vertical="center"/>
    </xf>
    <xf numFmtId="0" fontId="10" fillId="0" borderId="1" xfId="5" applyBorder="1" applyAlignment="1">
      <alignment horizontal="center" vertical="center"/>
    </xf>
    <xf numFmtId="0" fontId="0" fillId="0" borderId="1" xfId="5" applyFont="1" applyBorder="1" applyAlignment="1">
      <alignment horizontal="center" vertical="center"/>
    </xf>
    <xf numFmtId="0" fontId="6" fillId="0" borderId="1" xfId="5" applyFont="1" applyBorder="1" applyAlignment="1">
      <alignment horizontal="center" vertical="center"/>
    </xf>
    <xf numFmtId="14" fontId="0" fillId="0" borderId="1" xfId="5" applyNumberFormat="1" applyFont="1" applyBorder="1" applyAlignment="1">
      <alignment horizontal="center" vertical="center"/>
    </xf>
    <xf numFmtId="0" fontId="1" fillId="0" borderId="1" xfId="5" applyFont="1" applyBorder="1" applyAlignment="1">
      <alignment horizontal="center" vertical="center"/>
    </xf>
    <xf numFmtId="0" fontId="2" fillId="0" borderId="1" xfId="5" applyFont="1" applyBorder="1" applyAlignment="1">
      <alignment horizontal="center" vertical="center"/>
    </xf>
    <xf numFmtId="0" fontId="1" fillId="0" borderId="0" xfId="5" applyFont="1" applyAlignment="1">
      <alignment horizontal="center" vertical="center"/>
    </xf>
    <xf numFmtId="0" fontId="10" fillId="0" borderId="0" xfId="5" applyAlignment="1">
      <alignment horizontal="center" vertical="center"/>
    </xf>
    <xf numFmtId="0" fontId="10" fillId="0" borderId="0" xfId="5" applyAlignment="1">
      <alignment horizontal="left" vertical="center"/>
    </xf>
    <xf numFmtId="0" fontId="10" fillId="10" borderId="1" xfId="5" applyFill="1" applyBorder="1" applyAlignment="1">
      <alignment horizontal="center" vertical="center"/>
    </xf>
    <xf numFmtId="0" fontId="0" fillId="0" borderId="7" xfId="5" applyFont="1" applyBorder="1" applyAlignment="1">
      <alignment horizontal="left" vertical="top" wrapText="1"/>
    </xf>
    <xf numFmtId="0" fontId="10" fillId="0" borderId="5" xfId="5" applyBorder="1" applyAlignment="1">
      <alignment horizontal="left" vertical="top"/>
    </xf>
    <xf numFmtId="0" fontId="10" fillId="0" borderId="10" xfId="5" applyBorder="1" applyAlignment="1">
      <alignment horizontal="left" vertical="top"/>
    </xf>
    <xf numFmtId="0" fontId="10" fillId="0" borderId="8" xfId="5" applyBorder="1" applyAlignment="1">
      <alignment horizontal="left" vertical="top"/>
    </xf>
    <xf numFmtId="0" fontId="10" fillId="0" borderId="0" xfId="5" applyAlignment="1">
      <alignment horizontal="left" vertical="top"/>
    </xf>
    <xf numFmtId="0" fontId="10" fillId="0" borderId="11" xfId="5" applyBorder="1" applyAlignment="1">
      <alignment horizontal="left" vertical="top"/>
    </xf>
    <xf numFmtId="0" fontId="10" fillId="0" borderId="9" xfId="5" applyBorder="1" applyAlignment="1">
      <alignment horizontal="left" vertical="top"/>
    </xf>
    <xf numFmtId="0" fontId="10" fillId="0" borderId="4" xfId="5" applyBorder="1" applyAlignment="1">
      <alignment horizontal="left" vertical="top"/>
    </xf>
    <xf numFmtId="0" fontId="10" fillId="0" borderId="12" xfId="5" applyBorder="1" applyAlignment="1">
      <alignment horizontal="left" vertical="top"/>
    </xf>
    <xf numFmtId="0" fontId="9" fillId="0" borderId="1" xfId="5" applyFont="1" applyBorder="1" applyAlignment="1">
      <alignment horizontal="center" vertical="center"/>
    </xf>
    <xf numFmtId="0" fontId="9" fillId="0" borderId="1" xfId="5" applyFont="1" applyBorder="1" applyAlignment="1">
      <alignment horizontal="left" vertical="center"/>
    </xf>
    <xf numFmtId="0" fontId="2" fillId="0" borderId="3" xfId="0" applyFont="1" applyBorder="1" applyAlignment="1">
      <alignment horizontal="center"/>
    </xf>
    <xf numFmtId="0" fontId="10" fillId="5" borderId="1" xfId="5" applyFill="1" applyBorder="1" applyAlignment="1">
      <alignment horizontal="center" vertical="center"/>
    </xf>
    <xf numFmtId="0" fontId="0" fillId="0" borderId="1" xfId="5" applyFont="1" applyBorder="1" applyAlignment="1">
      <alignment horizontal="left" vertical="center"/>
    </xf>
    <xf numFmtId="0" fontId="10" fillId="0" borderId="1" xfId="5" applyBorder="1" applyAlignment="1">
      <alignment horizontal="left" vertical="center"/>
    </xf>
    <xf numFmtId="0" fontId="10" fillId="5" borderId="5" xfId="5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0" fillId="11" borderId="1" xfId="0" applyFont="1" applyFill="1" applyBorder="1" applyAlignment="1">
      <alignment vertical="top"/>
    </xf>
  </cellXfs>
  <cellStyles count="10">
    <cellStyle name="Comma 2" xfId="2" xr:uid="{00000000-0005-0000-0000-000000000000}"/>
    <cellStyle name="常规" xfId="0" builtinId="0"/>
    <cellStyle name="常规 2" xfId="5" xr:uid="{00000000-0005-0000-0000-000002000000}"/>
    <cellStyle name="常规 2 2" xfId="3" xr:uid="{00000000-0005-0000-0000-000003000000}"/>
    <cellStyle name="常规 2 3 2" xfId="4" xr:uid="{00000000-0005-0000-0000-000004000000}"/>
    <cellStyle name="常规 3" xfId="8" xr:uid="{00000000-0005-0000-0000-000005000000}"/>
    <cellStyle name="常规 5" xfId="6" xr:uid="{00000000-0005-0000-0000-000006000000}"/>
    <cellStyle name="超链接" xfId="1" builtinId="8"/>
    <cellStyle name="千位分隔 2" xfId="9" xr:uid="{00000000-0005-0000-0000-000008000000}"/>
    <cellStyle name="千位分隔 2 2" xfId="7" xr:uid="{00000000-0005-0000-0000-000009000000}"/>
  </cellStyles>
  <dxfs count="0"/>
  <tableStyles count="0" defaultTableStyle="TableStyleMedium2" defaultPivotStyle="PivotStyleLight16"/>
  <colors>
    <mruColors>
      <color rgb="FFCCFFCC"/>
      <color rgb="FF99FFCC"/>
      <color rgb="FFCCFFFF"/>
      <color rgb="FFFFCCCC"/>
      <color rgb="FFFFFF99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E34"/>
  <sheetViews>
    <sheetView showGridLines="0" topLeftCell="A4" workbookViewId="0">
      <selection activeCell="G24" sqref="G24:L24"/>
    </sheetView>
  </sheetViews>
  <sheetFormatPr defaultColWidth="2.375" defaultRowHeight="14.25" customHeight="1"/>
  <cols>
    <col min="1" max="16384" width="2.375" style="20"/>
  </cols>
  <sheetData>
    <row r="2" spans="2:31" ht="14.25" customHeight="1">
      <c r="B2" s="39" t="s">
        <v>76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</row>
    <row r="3" spans="2:31" ht="14.25" customHeight="1"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</row>
    <row r="4" spans="2:31" ht="14.25" customHeight="1">
      <c r="B4" s="46" t="s">
        <v>0</v>
      </c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</row>
    <row r="6" spans="2:31" ht="14.25" customHeight="1">
      <c r="B6" s="48" t="s">
        <v>1</v>
      </c>
      <c r="C6" s="48"/>
      <c r="D6" s="48"/>
      <c r="E6" s="48"/>
      <c r="F6" s="48"/>
    </row>
    <row r="8" spans="2:31" ht="14.25" customHeight="1">
      <c r="B8" s="50" t="s">
        <v>2</v>
      </c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2"/>
    </row>
    <row r="9" spans="2:31" ht="14.25" customHeight="1">
      <c r="B9" s="53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5"/>
    </row>
    <row r="10" spans="2:31" ht="14.25" customHeight="1">
      <c r="B10" s="53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5"/>
    </row>
    <row r="11" spans="2:31" ht="14.25" customHeight="1">
      <c r="B11" s="53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5"/>
    </row>
    <row r="12" spans="2:31" ht="14.25" customHeight="1">
      <c r="B12" s="53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5"/>
    </row>
    <row r="13" spans="2:31" ht="14.25" customHeight="1">
      <c r="B13" s="53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5"/>
    </row>
    <row r="14" spans="2:31" ht="14.25" customHeight="1">
      <c r="B14" s="53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5"/>
    </row>
    <row r="15" spans="2:31" ht="14.25" customHeight="1">
      <c r="B15" s="53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5"/>
    </row>
    <row r="16" spans="2:31" ht="14.25" customHeight="1">
      <c r="B16" s="56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8"/>
    </row>
    <row r="20" spans="2:31" ht="14.25" customHeight="1">
      <c r="B20" s="49" t="s">
        <v>3</v>
      </c>
      <c r="C20" s="49"/>
      <c r="D20" s="49"/>
      <c r="E20" s="49"/>
      <c r="F20" s="49"/>
      <c r="G20" s="49" t="s">
        <v>4</v>
      </c>
      <c r="H20" s="49"/>
      <c r="I20" s="49"/>
      <c r="J20" s="49"/>
      <c r="K20" s="49"/>
      <c r="L20" s="49"/>
      <c r="M20" s="49" t="s">
        <v>5</v>
      </c>
      <c r="N20" s="49"/>
      <c r="O20" s="49"/>
      <c r="P20" s="49"/>
      <c r="Q20" s="49"/>
      <c r="R20" s="49"/>
      <c r="S20" s="49"/>
      <c r="T20" s="49" t="s">
        <v>6</v>
      </c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</row>
    <row r="21" spans="2:31" ht="14.25" customHeight="1">
      <c r="B21" s="40">
        <v>1</v>
      </c>
      <c r="C21" s="40"/>
      <c r="D21" s="40"/>
      <c r="E21" s="40"/>
      <c r="F21" s="40"/>
      <c r="G21" s="43">
        <v>44901</v>
      </c>
      <c r="H21" s="40"/>
      <c r="I21" s="40"/>
      <c r="J21" s="40"/>
      <c r="K21" s="40"/>
      <c r="L21" s="40"/>
      <c r="M21" s="44" t="s">
        <v>49</v>
      </c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</row>
    <row r="22" spans="2:31" ht="14.25" customHeight="1"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</row>
    <row r="23" spans="2:31" ht="14.25" customHeight="1">
      <c r="B23" s="40"/>
      <c r="C23" s="40"/>
      <c r="D23" s="40"/>
      <c r="E23" s="40"/>
      <c r="F23" s="40"/>
      <c r="G23" s="41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1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</row>
    <row r="24" spans="2:31" ht="14.25" customHeight="1"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</row>
    <row r="25" spans="2:31" ht="14.25" customHeight="1"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 spans="2:31" ht="14.25" customHeight="1"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 spans="2:31" ht="14.25" customHeight="1"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</row>
    <row r="28" spans="2:31" ht="14.25" customHeight="1"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 spans="2:31" ht="14.25" customHeight="1"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</row>
    <row r="30" spans="2:31" ht="14.25" customHeight="1"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 spans="2:31" ht="14.25" customHeight="1"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</row>
    <row r="32" spans="2:31" ht="14.25" customHeight="1"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</row>
    <row r="33" spans="2:31" ht="14.25" customHeight="1"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</row>
    <row r="34" spans="2:31" ht="14.25" customHeight="1"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</row>
  </sheetData>
  <mergeCells count="64">
    <mergeCell ref="B4:AE4"/>
    <mergeCell ref="B6:F6"/>
    <mergeCell ref="B20:F20"/>
    <mergeCell ref="G20:L20"/>
    <mergeCell ref="M20:S20"/>
    <mergeCell ref="T20:AE20"/>
    <mergeCell ref="B8:AE16"/>
    <mergeCell ref="B21:F21"/>
    <mergeCell ref="G21:L21"/>
    <mergeCell ref="M21:S21"/>
    <mergeCell ref="T21:AE21"/>
    <mergeCell ref="B22:F22"/>
    <mergeCell ref="G22:L22"/>
    <mergeCell ref="M22:S22"/>
    <mergeCell ref="T22:AE22"/>
    <mergeCell ref="B23:F23"/>
    <mergeCell ref="G23:L23"/>
    <mergeCell ref="M23:S23"/>
    <mergeCell ref="T23:AE23"/>
    <mergeCell ref="B24:F24"/>
    <mergeCell ref="G24:L24"/>
    <mergeCell ref="M24:S24"/>
    <mergeCell ref="T24:AE24"/>
    <mergeCell ref="B25:F25"/>
    <mergeCell ref="G25:L25"/>
    <mergeCell ref="M25:S25"/>
    <mergeCell ref="T25:AE25"/>
    <mergeCell ref="B26:F26"/>
    <mergeCell ref="G26:L26"/>
    <mergeCell ref="M26:S26"/>
    <mergeCell ref="T26:AE26"/>
    <mergeCell ref="T27:AE27"/>
    <mergeCell ref="B28:F28"/>
    <mergeCell ref="G28:L28"/>
    <mergeCell ref="M28:S28"/>
    <mergeCell ref="T28:AE28"/>
    <mergeCell ref="B34:F34"/>
    <mergeCell ref="G34:L34"/>
    <mergeCell ref="M34:S34"/>
    <mergeCell ref="T34:AE34"/>
    <mergeCell ref="B31:F31"/>
    <mergeCell ref="G31:L31"/>
    <mergeCell ref="M31:S31"/>
    <mergeCell ref="T31:AE31"/>
    <mergeCell ref="B32:F32"/>
    <mergeCell ref="G32:L32"/>
    <mergeCell ref="M32:S32"/>
    <mergeCell ref="T32:AE32"/>
    <mergeCell ref="B2:AE3"/>
    <mergeCell ref="B33:F33"/>
    <mergeCell ref="G33:L33"/>
    <mergeCell ref="M33:S33"/>
    <mergeCell ref="T33:AE33"/>
    <mergeCell ref="B29:F29"/>
    <mergeCell ref="G29:L29"/>
    <mergeCell ref="M29:S29"/>
    <mergeCell ref="T29:AE29"/>
    <mergeCell ref="B30:F30"/>
    <mergeCell ref="G30:L30"/>
    <mergeCell ref="M30:S30"/>
    <mergeCell ref="T30:AE30"/>
    <mergeCell ref="B27:F27"/>
    <mergeCell ref="G27:L27"/>
    <mergeCell ref="M27:S27"/>
  </mergeCells>
  <phoneticPr fontId="1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34"/>
  <sheetViews>
    <sheetView showGridLines="0" workbookViewId="0">
      <selection activeCell="E13" sqref="E13"/>
    </sheetView>
  </sheetViews>
  <sheetFormatPr defaultColWidth="2.375" defaultRowHeight="14.25" customHeight="1"/>
  <cols>
    <col min="1" max="4" width="2.375" style="18"/>
    <col min="5" max="5" width="31.375" style="18" customWidth="1"/>
    <col min="6" max="6" width="29.75" style="18" customWidth="1"/>
    <col min="7" max="7" width="15" style="18" customWidth="1"/>
    <col min="8" max="8" width="14.375" style="18" customWidth="1"/>
    <col min="9" max="9" width="14" style="18" bestFit="1" customWidth="1"/>
    <col min="10" max="10" width="19.25" style="18" customWidth="1"/>
    <col min="11" max="27" width="2.375" style="18"/>
    <col min="28" max="28" width="2.375" style="18" hidden="1" customWidth="1"/>
    <col min="29" max="37" width="2.375" style="18"/>
    <col min="38" max="38" width="16.375" style="18" hidden="1" customWidth="1"/>
    <col min="39" max="39" width="12.625" style="18" hidden="1" customWidth="1"/>
    <col min="40" max="40" width="24.375" style="18" hidden="1" customWidth="1"/>
    <col min="41" max="16384" width="2.375" style="18"/>
  </cols>
  <sheetData>
    <row r="1" spans="1:35" ht="14.25" customHeight="1">
      <c r="A1" s="59" t="s">
        <v>7</v>
      </c>
      <c r="B1" s="59"/>
      <c r="C1" s="59"/>
      <c r="D1" s="59"/>
      <c r="E1" s="60" t="s">
        <v>0</v>
      </c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</row>
    <row r="2" spans="1:35" ht="14.25" customHeight="1">
      <c r="H2" s="28"/>
      <c r="I2" s="28"/>
      <c r="J2" s="28"/>
    </row>
    <row r="3" spans="1:35" ht="14.25" customHeight="1">
      <c r="B3" s="18" t="s">
        <v>8</v>
      </c>
      <c r="E3" s="27" t="s">
        <v>63</v>
      </c>
      <c r="F3" s="19" t="s">
        <v>9</v>
      </c>
      <c r="G3" s="19" t="s">
        <v>10</v>
      </c>
      <c r="H3" s="28" t="s">
        <v>186</v>
      </c>
      <c r="AB3" s="18" t="s">
        <v>11</v>
      </c>
    </row>
    <row r="4" spans="1:35" ht="14.25" customHeight="1">
      <c r="E4" s="23" t="s">
        <v>77</v>
      </c>
      <c r="F4" s="19" t="str">
        <f>sl_person!D1</f>
        <v>人员信息表</v>
      </c>
      <c r="G4" s="19"/>
      <c r="H4" s="28" t="s">
        <v>187</v>
      </c>
      <c r="I4" s="28"/>
    </row>
    <row r="5" spans="1:35" ht="14.25" customHeight="1">
      <c r="E5" s="26" t="s">
        <v>90</v>
      </c>
      <c r="F5" s="27" t="str">
        <f>sl_room!D1</f>
        <v>机房信息表</v>
      </c>
      <c r="G5" s="19"/>
      <c r="H5" s="28" t="s">
        <v>187</v>
      </c>
      <c r="I5" s="28"/>
    </row>
    <row r="6" spans="1:35" ht="14.25" customHeight="1">
      <c r="E6" s="26" t="s">
        <v>95</v>
      </c>
      <c r="F6" s="19" t="str">
        <f>sl_area_type!D1</f>
        <v>区域类型字典</v>
      </c>
      <c r="G6" s="19"/>
      <c r="H6" s="28" t="s">
        <v>187</v>
      </c>
      <c r="I6" s="28"/>
    </row>
    <row r="7" spans="1:35" ht="14.25" customHeight="1">
      <c r="E7" s="23" t="s">
        <v>97</v>
      </c>
      <c r="F7" s="19" t="str">
        <f>sl_lock!D1</f>
        <v>智能锁信息表</v>
      </c>
      <c r="G7" s="19"/>
      <c r="H7" s="28" t="s">
        <v>187</v>
      </c>
      <c r="I7" s="28"/>
    </row>
    <row r="8" spans="1:35" ht="14.25" customHeight="1">
      <c r="E8" s="23" t="s">
        <v>109</v>
      </c>
      <c r="F8" s="19" t="str">
        <f>sl_key!D1</f>
        <v>智能钥匙信息表</v>
      </c>
      <c r="G8" s="19"/>
      <c r="H8" s="28" t="s">
        <v>187</v>
      </c>
      <c r="I8" s="28"/>
    </row>
    <row r="9" spans="1:35" ht="14.25" customHeight="1">
      <c r="E9" s="23" t="s">
        <v>115</v>
      </c>
      <c r="F9" s="19" t="str">
        <f>sl_key_controller!D1</f>
        <v>智能钥匙管理机信息表</v>
      </c>
      <c r="G9" s="19"/>
      <c r="H9" s="28" t="s">
        <v>187</v>
      </c>
      <c r="I9" s="28"/>
    </row>
    <row r="10" spans="1:35" ht="14.25" customHeight="1">
      <c r="E10" s="23" t="s">
        <v>126</v>
      </c>
      <c r="F10" s="27" t="str">
        <f>sl_lock_status_record!D1</f>
        <v>智能锁状态记录表</v>
      </c>
      <c r="G10" s="19"/>
      <c r="H10" s="28" t="s">
        <v>187</v>
      </c>
      <c r="I10" s="28"/>
    </row>
    <row r="11" spans="1:35" ht="14.25" customHeight="1">
      <c r="E11" s="23" t="s">
        <v>127</v>
      </c>
      <c r="F11" s="19" t="str">
        <f>sl_application!D1</f>
        <v>智能锁开锁申请</v>
      </c>
      <c r="G11" s="19"/>
      <c r="H11" s="28" t="s">
        <v>187</v>
      </c>
      <c r="I11" s="28"/>
    </row>
    <row r="12" spans="1:35" ht="14.25" customHeight="1">
      <c r="E12" s="23" t="s">
        <v>149</v>
      </c>
      <c r="F12" s="19" t="str">
        <f>sl_key_authorization!D1</f>
        <v>智能钥匙授权记录表</v>
      </c>
      <c r="G12" s="19"/>
      <c r="H12" s="28" t="s">
        <v>187</v>
      </c>
      <c r="I12" s="28"/>
    </row>
    <row r="13" spans="1:35" ht="14.25" customHeight="1">
      <c r="E13" s="23" t="s">
        <v>151</v>
      </c>
      <c r="F13" s="19" t="str">
        <f>sl_lock_authorization!D1</f>
        <v>智能锁远程开启记录表</v>
      </c>
      <c r="G13" s="19"/>
      <c r="H13" s="28" t="s">
        <v>187</v>
      </c>
      <c r="I13" s="28"/>
    </row>
    <row r="14" spans="1:35" ht="14.25" customHeight="1">
      <c r="E14" s="23" t="s">
        <v>159</v>
      </c>
      <c r="F14" s="34" t="str">
        <f>sl_lock_sl_lock_authorization!D1</f>
        <v>智远程开锁对应智能锁关联表</v>
      </c>
      <c r="G14" s="19"/>
      <c r="H14" s="28" t="s">
        <v>187</v>
      </c>
      <c r="I14" s="28"/>
    </row>
    <row r="15" spans="1:35" ht="14.25" customHeight="1">
      <c r="E15" s="23" t="s">
        <v>165</v>
      </c>
      <c r="F15" s="34" t="str">
        <f>sl_lock_authorization_sl_person!D1</f>
        <v>智远程开锁对应施工人员关联表</v>
      </c>
      <c r="G15" s="19"/>
      <c r="H15" s="28" t="s">
        <v>187</v>
      </c>
      <c r="I15" s="28"/>
    </row>
    <row r="16" spans="1:35" ht="14.25" customHeight="1">
      <c r="E16" s="23" t="s">
        <v>177</v>
      </c>
      <c r="F16" s="34" t="str">
        <f>sl_application_sl_key_authoriza!D1</f>
        <v>钥匙授权中对应开锁申请关联表</v>
      </c>
      <c r="G16" s="19"/>
      <c r="H16" s="28" t="s">
        <v>187</v>
      </c>
      <c r="I16" s="28"/>
    </row>
    <row r="17" spans="5:9" ht="14.25" customHeight="1">
      <c r="E17" s="23" t="s">
        <v>178</v>
      </c>
      <c r="F17" s="34" t="str">
        <f>sl_application_sl_lock!D1</f>
        <v>开锁申请对应智能锁关联表</v>
      </c>
      <c r="G17" s="19"/>
      <c r="H17" s="28" t="s">
        <v>187</v>
      </c>
      <c r="I17" s="28"/>
    </row>
    <row r="18" spans="5:9" ht="14.25" customHeight="1">
      <c r="E18" s="23" t="s">
        <v>182</v>
      </c>
      <c r="F18" s="34" t="str">
        <f>sl_application_sl_person!D1</f>
        <v>开锁申请对应施工人员关联表</v>
      </c>
      <c r="G18" s="19"/>
      <c r="H18" s="28" t="s">
        <v>187</v>
      </c>
      <c r="I18" s="28"/>
    </row>
    <row r="19" spans="5:9" ht="14.25" customHeight="1">
      <c r="E19" s="23" t="s">
        <v>198</v>
      </c>
      <c r="F19" s="27" t="str">
        <f>sl_lock_hub!D1</f>
        <v>智能锁网关信息表</v>
      </c>
      <c r="G19" s="19"/>
      <c r="H19" s="28"/>
      <c r="I19" s="28"/>
    </row>
    <row r="20" spans="5:9" ht="14.25" customHeight="1">
      <c r="E20" s="26"/>
      <c r="F20" s="27"/>
      <c r="G20" s="19"/>
      <c r="H20" s="28"/>
      <c r="I20" s="28"/>
    </row>
    <row r="21" spans="5:9" ht="14.25" customHeight="1">
      <c r="E21" s="23"/>
      <c r="F21" s="19"/>
      <c r="G21" s="19"/>
      <c r="H21" s="28"/>
    </row>
    <row r="22" spans="5:9" ht="14.25" customHeight="1">
      <c r="E22" s="23"/>
      <c r="F22" s="19"/>
      <c r="G22" s="19"/>
      <c r="H22" s="28"/>
      <c r="I22" s="28"/>
    </row>
    <row r="23" spans="5:9" ht="14.25" customHeight="1">
      <c r="E23" s="23"/>
      <c r="F23" s="19"/>
      <c r="G23" s="19"/>
      <c r="H23" s="28"/>
      <c r="I23" s="28"/>
    </row>
    <row r="24" spans="5:9" ht="14.25" customHeight="1">
      <c r="E24" s="23"/>
      <c r="F24" s="19"/>
      <c r="G24" s="19"/>
      <c r="H24" s="28"/>
      <c r="I24" s="28"/>
    </row>
    <row r="25" spans="5:9" ht="14.25" customHeight="1">
      <c r="E25" s="23"/>
      <c r="F25" s="19"/>
      <c r="G25" s="19"/>
      <c r="H25" s="28"/>
      <c r="I25" s="28"/>
    </row>
    <row r="26" spans="5:9" ht="14.25" customHeight="1">
      <c r="E26" s="23"/>
      <c r="F26" s="19"/>
      <c r="G26" s="19"/>
      <c r="H26" s="28"/>
      <c r="I26" s="28"/>
    </row>
    <row r="27" spans="5:9" ht="14.25" customHeight="1">
      <c r="E27" s="26"/>
      <c r="F27" s="19"/>
      <c r="G27" s="19"/>
      <c r="H27" s="28"/>
      <c r="I27" s="28"/>
    </row>
    <row r="28" spans="5:9" ht="14.25" customHeight="1">
      <c r="E28" s="26"/>
      <c r="F28" s="27"/>
      <c r="G28" s="19"/>
      <c r="H28" s="28"/>
      <c r="I28" s="28"/>
    </row>
    <row r="29" spans="5:9" ht="14.25" customHeight="1">
      <c r="E29" s="23"/>
      <c r="F29" s="19"/>
      <c r="G29" s="19"/>
      <c r="H29" s="28"/>
    </row>
    <row r="30" spans="5:9" ht="14.25" customHeight="1">
      <c r="E30" s="23"/>
      <c r="F30" s="19"/>
      <c r="G30" s="19"/>
      <c r="H30" s="28"/>
    </row>
    <row r="31" spans="5:9" ht="14.25" customHeight="1">
      <c r="E31" s="23"/>
      <c r="F31" s="19"/>
      <c r="G31" s="19"/>
      <c r="H31" s="28"/>
    </row>
    <row r="32" spans="5:9" ht="14.25" customHeight="1">
      <c r="E32" s="19"/>
      <c r="F32" s="19"/>
      <c r="G32" s="19"/>
    </row>
    <row r="33" spans="5:7" ht="14.25" customHeight="1">
      <c r="E33" s="19"/>
      <c r="F33" s="19"/>
      <c r="G33" s="19"/>
    </row>
    <row r="34" spans="5:7" ht="14.25" customHeight="1">
      <c r="E34" s="19"/>
      <c r="F34" s="19"/>
      <c r="G34" s="19"/>
    </row>
  </sheetData>
  <mergeCells count="2">
    <mergeCell ref="A1:D1"/>
    <mergeCell ref="E1:AI1"/>
  </mergeCells>
  <phoneticPr fontId="12" type="noConversion"/>
  <hyperlinks>
    <hyperlink ref="E4" location="sl_person!A1" display="sl_person" xr:uid="{00000000-0004-0000-0100-000000000000}"/>
    <hyperlink ref="E5" location="sl_room!A1" display="sl_room" xr:uid="{00000000-0004-0000-0100-000001000000}"/>
    <hyperlink ref="E6" location="sl_area_type!A1" display="sl_area_type" xr:uid="{00000000-0004-0000-0100-000002000000}"/>
    <hyperlink ref="E7" location="sl_lock!A1" display="sl_lock" xr:uid="{00000000-0004-0000-0100-000003000000}"/>
    <hyperlink ref="E8" location="sl_key!A1" display="sl_key" xr:uid="{00000000-0004-0000-0100-000004000000}"/>
    <hyperlink ref="E9" location="sl_key_controller!A1" display="sl_key_controller" xr:uid="{00000000-0004-0000-0100-000005000000}"/>
    <hyperlink ref="E10" location="sl_lock_status_record!A1" display="sl_lock_status_record" xr:uid="{00000000-0004-0000-0100-000006000000}"/>
    <hyperlink ref="E11" location="sl_application!A1" display="sl_application" xr:uid="{00000000-0004-0000-0100-000007000000}"/>
    <hyperlink ref="E12" location="sl_key_authorization!A1" display="sl_key_authorization" xr:uid="{00000000-0004-0000-0100-000008000000}"/>
    <hyperlink ref="E13" location="sl_lock_authorization!A1" display="sl_lock_authorization" xr:uid="{00000000-0004-0000-0100-000009000000}"/>
    <hyperlink ref="E14" location="sl_lock_sl_lock_authorization!A1" display="sl_lock_sl_lock_authorization" xr:uid="{00000000-0004-0000-0100-00000A000000}"/>
    <hyperlink ref="E15" location="sl_lock_authorization_sl_person!A1" display="sl_lock_authorization_sl_person" xr:uid="{00000000-0004-0000-0100-00000B000000}"/>
    <hyperlink ref="E16" location="sl_application_sl_key_authoriza!A1" display="sl_application_sl_key_authoriza" xr:uid="{00000000-0004-0000-0100-00000C000000}"/>
    <hyperlink ref="E17" location="sl_application_sl_lock!A1" display="sl_application_sl_lock" xr:uid="{00000000-0004-0000-0100-00000D000000}"/>
    <hyperlink ref="E18" location="sl_application_sl_person!A1" display="sl_application_sl_person" xr:uid="{00000000-0004-0000-0100-00000E000000}"/>
    <hyperlink ref="E19" location="sl_lock_hub!A1" display="sl_lock_hub" xr:uid="{EF5B8216-957C-45F4-8DCD-9E13F6E37D7F}"/>
  </hyperlinks>
  <pageMargins left="0.7" right="0.7" top="0.75" bottom="0.75" header="0.3" footer="0.3"/>
  <pageSetup paperSize="9" scale="6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8"/>
  <sheetViews>
    <sheetView view="pageBreakPreview" zoomScaleNormal="100" zoomScaleSheetLayoutView="100" workbookViewId="0">
      <selection activeCell="B8" sqref="B8"/>
    </sheetView>
  </sheetViews>
  <sheetFormatPr defaultColWidth="9" defaultRowHeight="14.25"/>
  <cols>
    <col min="1" max="1" width="26.25" style="1" bestFit="1" customWidth="1"/>
    <col min="2" max="2" width="18" style="1" customWidth="1"/>
    <col min="3" max="3" width="6.75" style="1" bestFit="1" customWidth="1"/>
    <col min="4" max="4" width="5.375" style="1" bestFit="1" customWidth="1"/>
    <col min="5" max="5" width="9.625" style="1" bestFit="1" customWidth="1"/>
    <col min="6" max="6" width="13.875" style="1" bestFit="1" customWidth="1"/>
    <col min="7" max="7" width="25.75" style="1" bestFit="1" customWidth="1"/>
    <col min="8" max="8" width="22" style="1" bestFit="1" customWidth="1"/>
    <col min="9" max="11" width="59.375" style="1" customWidth="1"/>
    <col min="12" max="12" width="44.625" style="1" bestFit="1" customWidth="1"/>
    <col min="13" max="13" width="44.625" style="1" customWidth="1"/>
    <col min="14" max="14" width="18.375" style="1" customWidth="1"/>
    <col min="15" max="16384" width="9" style="1"/>
  </cols>
  <sheetData>
    <row r="1" spans="1:14" ht="16.5">
      <c r="A1" s="2" t="s">
        <v>13</v>
      </c>
      <c r="B1" s="3" t="s">
        <v>77</v>
      </c>
      <c r="C1" s="2" t="s">
        <v>14</v>
      </c>
      <c r="D1" s="61" t="s">
        <v>71</v>
      </c>
      <c r="E1" s="61"/>
      <c r="F1" s="2" t="s">
        <v>10</v>
      </c>
      <c r="G1" s="2"/>
      <c r="H1" s="3">
        <v>1</v>
      </c>
      <c r="I1" s="1" t="str">
        <f>"create table "&amp;B1&amp;" ("</f>
        <v>create table sl_person (</v>
      </c>
      <c r="N1" s="7" t="s">
        <v>8</v>
      </c>
    </row>
    <row r="2" spans="1:14">
      <c r="A2" s="4" t="s">
        <v>15</v>
      </c>
      <c r="B2" s="4" t="s">
        <v>16</v>
      </c>
      <c r="C2" s="4" t="s">
        <v>17</v>
      </c>
      <c r="D2" s="4" t="s">
        <v>19</v>
      </c>
      <c r="E2" s="4" t="s">
        <v>20</v>
      </c>
      <c r="F2" s="4" t="s">
        <v>21</v>
      </c>
      <c r="G2" s="4" t="s">
        <v>61</v>
      </c>
      <c r="H2" s="4" t="s">
        <v>9</v>
      </c>
      <c r="I2" s="24"/>
      <c r="J2" s="24"/>
      <c r="K2" s="24"/>
    </row>
    <row r="3" spans="1:14" ht="16.5">
      <c r="A3" s="3" t="s">
        <v>22</v>
      </c>
      <c r="B3" s="3" t="s">
        <v>43</v>
      </c>
      <c r="C3" s="3">
        <v>20</v>
      </c>
      <c r="D3" s="3" t="s">
        <v>23</v>
      </c>
      <c r="E3" s="3" t="s">
        <v>52</v>
      </c>
      <c r="F3" s="3"/>
      <c r="G3" s="3" t="s">
        <v>79</v>
      </c>
      <c r="H3" s="3" t="s">
        <v>78</v>
      </c>
      <c r="I3" s="22" t="str">
        <f t="shared" ref="I3:I17" si="0">A3&amp;" "&amp;B3&amp;"("&amp;C3&amp;") "&amp;E3&amp;" "&amp;F3&amp;","</f>
        <v>id varchar(20) NOT NULL ,</v>
      </c>
      <c r="J3" s="1" t="str">
        <f t="shared" ref="J3:J17" si="1">"{""field"":"""&amp;A3&amp;""",""name"":"""&amp;G3&amp;""",""dataType"":"""&amp;B3&amp;"""},"</f>
        <v>{"field":"id","name":"账号","dataType":"varchar"},</v>
      </c>
      <c r="K3" s="1" t="str">
        <f t="shared" ref="K3:K17" si="2">"{""field"":"""&amp;A3&amp;""",""labelRegexp"":"""&amp;G3&amp;""",""excelRangeType"":""table""},"</f>
        <v>{"field":"id","labelRegexp":"账号","excelRangeType":"table"},</v>
      </c>
      <c r="L3" s="1" t="str">
        <f>"{""field"":"""&amp;A3&amp;""",""width"":150},"</f>
        <v>{"field":"id","width":150},</v>
      </c>
    </row>
    <row r="4" spans="1:14" ht="16.5">
      <c r="A4" s="3" t="s">
        <v>31</v>
      </c>
      <c r="B4" s="3" t="s">
        <v>43</v>
      </c>
      <c r="C4" s="3">
        <v>20</v>
      </c>
      <c r="D4" s="3" t="s">
        <v>24</v>
      </c>
      <c r="E4" s="3" t="s">
        <v>52</v>
      </c>
      <c r="F4" s="3"/>
      <c r="G4" s="29" t="s">
        <v>64</v>
      </c>
      <c r="H4" s="5"/>
      <c r="I4" s="22" t="str">
        <f t="shared" si="0"/>
        <v>name varchar(20) NOT NULL ,</v>
      </c>
      <c r="J4" s="1" t="str">
        <f t="shared" si="1"/>
        <v>{"field":"name","name":"姓名","dataType":"varchar"},</v>
      </c>
      <c r="K4" s="1" t="str">
        <f t="shared" si="2"/>
        <v>{"field":"name","labelRegexp":"姓名","excelRangeType":"table"},</v>
      </c>
      <c r="L4" s="1" t="str">
        <f t="shared" ref="L4:L17" si="3">"{""field"":"""&amp;A4&amp;""",""width"":150},"</f>
        <v>{"field":"name","width":150},</v>
      </c>
    </row>
    <row r="5" spans="1:14" ht="33">
      <c r="A5" s="3" t="s">
        <v>65</v>
      </c>
      <c r="B5" s="3" t="s">
        <v>43</v>
      </c>
      <c r="C5" s="3">
        <v>2</v>
      </c>
      <c r="D5" s="3" t="s">
        <v>24</v>
      </c>
      <c r="E5" s="3" t="s">
        <v>51</v>
      </c>
      <c r="F5" s="3"/>
      <c r="G5" s="29" t="s">
        <v>66</v>
      </c>
      <c r="H5" s="25" t="s">
        <v>67</v>
      </c>
      <c r="I5" s="22" t="str">
        <f t="shared" si="0"/>
        <v>gender varchar(2) NULL ,</v>
      </c>
      <c r="J5" s="1" t="str">
        <f t="shared" si="1"/>
        <v>{"field":"gender","name":"性别","dataType":"varchar"},</v>
      </c>
      <c r="K5" s="1" t="str">
        <f t="shared" si="2"/>
        <v>{"field":"gender","labelRegexp":"性别","excelRangeType":"table"},</v>
      </c>
      <c r="L5" s="1" t="str">
        <f t="shared" si="3"/>
        <v>{"field":"gender","width":150},</v>
      </c>
    </row>
    <row r="6" spans="1:14" ht="16.5">
      <c r="A6" s="3" t="s">
        <v>83</v>
      </c>
      <c r="B6" s="3" t="s">
        <v>43</v>
      </c>
      <c r="C6" s="3">
        <v>255</v>
      </c>
      <c r="D6" s="3" t="s">
        <v>24</v>
      </c>
      <c r="E6" s="3" t="s">
        <v>51</v>
      </c>
      <c r="F6" s="3"/>
      <c r="G6" s="29" t="s">
        <v>82</v>
      </c>
      <c r="H6" s="25"/>
      <c r="I6" s="22" t="str">
        <f t="shared" si="0"/>
        <v>company varchar(255) NULL ,</v>
      </c>
      <c r="J6" s="1" t="str">
        <f t="shared" si="1"/>
        <v>{"field":"company","name":"单位","dataType":"varchar"},</v>
      </c>
      <c r="K6" s="1" t="str">
        <f t="shared" si="2"/>
        <v>{"field":"company","labelRegexp":"单位","excelRangeType":"table"},</v>
      </c>
      <c r="L6" s="1" t="str">
        <f t="shared" si="3"/>
        <v>{"field":"company","width":150},</v>
      </c>
    </row>
    <row r="7" spans="1:14" ht="16.5">
      <c r="A7" s="3" t="s">
        <v>80</v>
      </c>
      <c r="B7" s="3" t="s">
        <v>43</v>
      </c>
      <c r="C7" s="3">
        <v>255</v>
      </c>
      <c r="D7" s="3" t="s">
        <v>24</v>
      </c>
      <c r="E7" s="3" t="s">
        <v>51</v>
      </c>
      <c r="F7" s="3"/>
      <c r="G7" s="29" t="s">
        <v>81</v>
      </c>
      <c r="H7" s="5"/>
      <c r="I7" s="22" t="str">
        <f t="shared" si="0"/>
        <v>department varchar(255) NULL ,</v>
      </c>
      <c r="J7" s="1" t="str">
        <f t="shared" si="1"/>
        <v>{"field":"department","name":"部门","dataType":"varchar"},</v>
      </c>
      <c r="K7" s="1" t="str">
        <f t="shared" si="2"/>
        <v>{"field":"department","labelRegexp":"部门","excelRangeType":"table"},</v>
      </c>
      <c r="L7" s="1" t="str">
        <f t="shared" si="3"/>
        <v>{"field":"department","width":150},</v>
      </c>
    </row>
    <row r="8" spans="1:14" ht="16.5">
      <c r="A8" s="3" t="s">
        <v>84</v>
      </c>
      <c r="B8" s="3" t="s">
        <v>43</v>
      </c>
      <c r="C8" s="3">
        <v>255</v>
      </c>
      <c r="D8" s="3" t="s">
        <v>24</v>
      </c>
      <c r="E8" s="3" t="s">
        <v>51</v>
      </c>
      <c r="F8" s="3"/>
      <c r="G8" s="29" t="s">
        <v>85</v>
      </c>
      <c r="H8" s="5"/>
      <c r="I8" s="22" t="str">
        <f t="shared" si="0"/>
        <v>position varchar(255) NULL ,</v>
      </c>
      <c r="J8" s="1" t="str">
        <f t="shared" si="1"/>
        <v>{"field":"position","name":"职位","dataType":"varchar"},</v>
      </c>
      <c r="K8" s="1" t="str">
        <f t="shared" si="2"/>
        <v>{"field":"position","labelRegexp":"职位","excelRangeType":"table"},</v>
      </c>
      <c r="L8" s="1" t="str">
        <f t="shared" si="3"/>
        <v>{"field":"position","width":150},</v>
      </c>
    </row>
    <row r="9" spans="1:14" ht="16.5">
      <c r="A9" s="3" t="s">
        <v>86</v>
      </c>
      <c r="B9" s="3" t="s">
        <v>43</v>
      </c>
      <c r="C9" s="3">
        <v>25</v>
      </c>
      <c r="D9" s="3" t="s">
        <v>24</v>
      </c>
      <c r="E9" s="3" t="s">
        <v>51</v>
      </c>
      <c r="F9" s="3"/>
      <c r="G9" s="29" t="s">
        <v>87</v>
      </c>
      <c r="H9" s="5"/>
      <c r="I9" s="22" t="str">
        <f t="shared" si="0"/>
        <v>phone varchar(25) NULL ,</v>
      </c>
      <c r="J9" s="1" t="str">
        <f t="shared" si="1"/>
        <v>{"field":"phone","name":"联系电话","dataType":"varchar"},</v>
      </c>
      <c r="K9" s="1" t="str">
        <f t="shared" si="2"/>
        <v>{"field":"phone","labelRegexp":"联系电话","excelRangeType":"table"},</v>
      </c>
      <c r="L9" s="1" t="str">
        <f t="shared" si="3"/>
        <v>{"field":"phone","width":150},</v>
      </c>
    </row>
    <row r="10" spans="1:14" ht="16.5">
      <c r="A10" s="3" t="s">
        <v>88</v>
      </c>
      <c r="B10" s="3" t="s">
        <v>43</v>
      </c>
      <c r="C10" s="3">
        <v>255</v>
      </c>
      <c r="D10" s="3" t="s">
        <v>24</v>
      </c>
      <c r="E10" s="3" t="s">
        <v>51</v>
      </c>
      <c r="F10" s="3"/>
      <c r="G10" s="29" t="s">
        <v>89</v>
      </c>
      <c r="H10" s="5"/>
      <c r="I10" s="22" t="str">
        <f t="shared" si="0"/>
        <v>email varchar(255) NULL ,</v>
      </c>
      <c r="J10" s="1" t="str">
        <f t="shared" si="1"/>
        <v>{"field":"email","name":"邮箱","dataType":"varchar"},</v>
      </c>
      <c r="K10" s="1" t="str">
        <f t="shared" si="2"/>
        <v>{"field":"email","labelRegexp":"邮箱","excelRangeType":"table"},</v>
      </c>
      <c r="L10" s="1" t="str">
        <f t="shared" si="3"/>
        <v>{"field":"email","width":150},</v>
      </c>
    </row>
    <row r="11" spans="1:14" ht="16.5">
      <c r="A11" s="3" t="s">
        <v>72</v>
      </c>
      <c r="B11" s="3" t="s">
        <v>43</v>
      </c>
      <c r="C11" s="3">
        <v>260</v>
      </c>
      <c r="D11" s="3" t="s">
        <v>24</v>
      </c>
      <c r="E11" s="3" t="s">
        <v>51</v>
      </c>
      <c r="F11" s="3"/>
      <c r="G11" s="29" t="s">
        <v>73</v>
      </c>
      <c r="H11" s="5"/>
      <c r="I11" s="22" t="str">
        <f t="shared" si="0"/>
        <v>import_file_name varchar(260) NULL ,</v>
      </c>
      <c r="J11" s="1" t="str">
        <f t="shared" si="1"/>
        <v>{"field":"import_file_name","name":"导入文件名称","dataType":"varchar"},</v>
      </c>
      <c r="K11" s="1" t="str">
        <f t="shared" si="2"/>
        <v>{"field":"import_file_name","labelRegexp":"导入文件名称","excelRangeType":"table"},</v>
      </c>
      <c r="L11" s="1" t="str">
        <f t="shared" si="3"/>
        <v>{"field":"import_file_name","width":150},</v>
      </c>
    </row>
    <row r="12" spans="1:14" ht="16.5">
      <c r="A12" s="3" t="s">
        <v>74</v>
      </c>
      <c r="B12" s="3" t="s">
        <v>43</v>
      </c>
      <c r="C12" s="3">
        <v>25</v>
      </c>
      <c r="D12" s="3" t="s">
        <v>24</v>
      </c>
      <c r="E12" s="3" t="s">
        <v>51</v>
      </c>
      <c r="F12" s="3"/>
      <c r="G12" s="29" t="s">
        <v>75</v>
      </c>
      <c r="H12" s="5"/>
      <c r="I12" s="22" t="str">
        <f t="shared" si="0"/>
        <v>import_batch_number varchar(25) NULL ,</v>
      </c>
      <c r="J12" s="1" t="str">
        <f t="shared" si="1"/>
        <v>{"field":"import_batch_number","name":"导入批次","dataType":"varchar"},</v>
      </c>
      <c r="L12" s="1" t="str">
        <f t="shared" si="3"/>
        <v>{"field":"import_batch_number","width":150},</v>
      </c>
    </row>
    <row r="13" spans="1:14" ht="16.5">
      <c r="A13" s="3" t="s">
        <v>44</v>
      </c>
      <c r="B13" s="3" t="s">
        <v>50</v>
      </c>
      <c r="C13" s="3">
        <v>0</v>
      </c>
      <c r="D13" s="3" t="s">
        <v>24</v>
      </c>
      <c r="E13" s="3" t="s">
        <v>52</v>
      </c>
      <c r="F13" s="3"/>
      <c r="G13" s="11" t="s">
        <v>56</v>
      </c>
      <c r="H13" s="11" t="s">
        <v>56</v>
      </c>
      <c r="I13" s="22" t="str">
        <f t="shared" si="0"/>
        <v>create_time datetime(0) NOT NULL ,</v>
      </c>
      <c r="J13" s="1" t="str">
        <f t="shared" si="1"/>
        <v>{"field":"create_time","name":"记录创建时间","dataType":"datetime"},</v>
      </c>
      <c r="K13" s="1" t="str">
        <f t="shared" si="2"/>
        <v>{"field":"create_time","labelRegexp":"记录创建时间","excelRangeType":"table"},</v>
      </c>
      <c r="L13" s="1" t="str">
        <f t="shared" si="3"/>
        <v>{"field":"create_time","width":150},</v>
      </c>
    </row>
    <row r="14" spans="1:14" ht="16.5">
      <c r="A14" s="3" t="s">
        <v>42</v>
      </c>
      <c r="B14" s="21" t="s">
        <v>43</v>
      </c>
      <c r="C14" s="21">
        <v>25</v>
      </c>
      <c r="D14" s="3" t="s">
        <v>24</v>
      </c>
      <c r="E14" s="3" t="s">
        <v>52</v>
      </c>
      <c r="F14" s="3"/>
      <c r="G14" s="11" t="s">
        <v>57</v>
      </c>
      <c r="H14" s="11" t="s">
        <v>57</v>
      </c>
      <c r="I14" s="22" t="str">
        <f t="shared" si="0"/>
        <v>create_user varchar(25) NOT NULL ,</v>
      </c>
      <c r="J14" s="1" t="str">
        <f t="shared" si="1"/>
        <v>{"field":"create_user","name":"记录创建人","dataType":"varchar"},</v>
      </c>
      <c r="K14" s="1" t="str">
        <f t="shared" si="2"/>
        <v>{"field":"create_user","labelRegexp":"记录创建人","excelRangeType":"table"},</v>
      </c>
      <c r="L14" s="1" t="str">
        <f t="shared" si="3"/>
        <v>{"field":"create_user","width":150},</v>
      </c>
    </row>
    <row r="15" spans="1:14" ht="16.5">
      <c r="A15" s="3" t="s">
        <v>53</v>
      </c>
      <c r="B15" s="3" t="s">
        <v>50</v>
      </c>
      <c r="C15" s="3">
        <v>0</v>
      </c>
      <c r="D15" s="3" t="s">
        <v>24</v>
      </c>
      <c r="E15" s="3" t="s">
        <v>52</v>
      </c>
      <c r="F15" s="3"/>
      <c r="G15" s="11" t="s">
        <v>58</v>
      </c>
      <c r="H15" s="11" t="s">
        <v>58</v>
      </c>
      <c r="I15" s="22" t="str">
        <f t="shared" si="0"/>
        <v>update_time datetime(0) NOT NULL ,</v>
      </c>
      <c r="J15" s="1" t="str">
        <f t="shared" si="1"/>
        <v>{"field":"update_time","name":"记录更新时间","dataType":"datetime"},</v>
      </c>
      <c r="K15" s="1" t="str">
        <f t="shared" si="2"/>
        <v>{"field":"update_time","labelRegexp":"记录更新时间","excelRangeType":"table"},</v>
      </c>
      <c r="L15" s="1" t="str">
        <f t="shared" si="3"/>
        <v>{"field":"update_time","width":150},</v>
      </c>
    </row>
    <row r="16" spans="1:14" ht="16.5">
      <c r="A16" s="3" t="s">
        <v>54</v>
      </c>
      <c r="B16" s="21" t="s">
        <v>43</v>
      </c>
      <c r="C16" s="21">
        <v>25</v>
      </c>
      <c r="D16" s="3" t="s">
        <v>24</v>
      </c>
      <c r="E16" s="3" t="s">
        <v>52</v>
      </c>
      <c r="F16" s="3"/>
      <c r="G16" s="11" t="s">
        <v>59</v>
      </c>
      <c r="H16" s="11" t="s">
        <v>59</v>
      </c>
      <c r="I16" s="22" t="str">
        <f t="shared" si="0"/>
        <v>update_user varchar(25) NOT NULL ,</v>
      </c>
      <c r="J16" s="1" t="str">
        <f t="shared" si="1"/>
        <v>{"field":"update_user","name":"记录更新人","dataType":"varchar"},</v>
      </c>
      <c r="K16" s="1" t="str">
        <f t="shared" si="2"/>
        <v>{"field":"update_user","labelRegexp":"记录更新人","excelRangeType":"table"},</v>
      </c>
      <c r="L16" s="1" t="str">
        <f t="shared" si="3"/>
        <v>{"field":"update_user","width":150},</v>
      </c>
    </row>
    <row r="17" spans="1:12" ht="16.5">
      <c r="A17" s="3" t="s">
        <v>25</v>
      </c>
      <c r="B17" s="3" t="s">
        <v>41</v>
      </c>
      <c r="C17" s="3">
        <v>11</v>
      </c>
      <c r="D17" s="3" t="s">
        <v>24</v>
      </c>
      <c r="E17" s="3" t="s">
        <v>52</v>
      </c>
      <c r="F17" s="3" t="s">
        <v>55</v>
      </c>
      <c r="G17" s="3" t="s">
        <v>60</v>
      </c>
      <c r="H17" s="3" t="s">
        <v>60</v>
      </c>
      <c r="I17" s="22" t="str">
        <f t="shared" si="0"/>
        <v>version int(11) NOT NULL DEFAULT 0,</v>
      </c>
      <c r="J17" s="1" t="str">
        <f t="shared" si="1"/>
        <v>{"field":"version","name":"数据版本号","dataType":"int"},</v>
      </c>
      <c r="K17" s="1" t="str">
        <f t="shared" si="2"/>
        <v>{"field":"version","labelRegexp":"数据版本号","excelRangeType":"table"},</v>
      </c>
      <c r="L17" s="1" t="str">
        <f t="shared" si="3"/>
        <v>{"field":"version","width":150},</v>
      </c>
    </row>
    <row r="18" spans="1:12">
      <c r="I18" s="1" t="str">
        <f>"PRIMARY KEY (`id`) USING BTREE)"</f>
        <v>PRIMARY KEY (`id`) USING BTREE)</v>
      </c>
    </row>
  </sheetData>
  <mergeCells count="1">
    <mergeCell ref="D1:E1"/>
  </mergeCells>
  <phoneticPr fontId="12" type="noConversion"/>
  <hyperlinks>
    <hyperlink ref="N1" location="目录!A1" display="目录" xr:uid="{00000000-0004-0000-0200-000000000000}"/>
  </hyperlinks>
  <pageMargins left="0.7" right="0.7" top="0.75" bottom="0.75" header="0.3" footer="0.3"/>
  <pageSetup paperSize="9" scale="5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3"/>
  <sheetViews>
    <sheetView tabSelected="1" topLeftCell="F1" workbookViewId="0">
      <selection activeCell="J21" sqref="J21"/>
    </sheetView>
  </sheetViews>
  <sheetFormatPr defaultColWidth="9" defaultRowHeight="14.25"/>
  <cols>
    <col min="1" max="1" width="26.25" style="1" bestFit="1" customWidth="1"/>
    <col min="2" max="2" width="25" style="1" customWidth="1"/>
    <col min="3" max="3" width="6.75" style="1" bestFit="1" customWidth="1"/>
    <col min="4" max="4" width="5.375" style="1" bestFit="1" customWidth="1"/>
    <col min="5" max="5" width="19.375" style="1" customWidth="1"/>
    <col min="6" max="6" width="13.875" style="1" bestFit="1" customWidth="1"/>
    <col min="7" max="7" width="25.75" style="1" bestFit="1" customWidth="1"/>
    <col min="8" max="8" width="34.625" style="1" customWidth="1"/>
    <col min="9" max="11" width="59.375" style="1" customWidth="1"/>
    <col min="12" max="12" width="44.625" style="1" bestFit="1" customWidth="1"/>
    <col min="13" max="13" width="44.625" style="1" customWidth="1"/>
    <col min="14" max="14" width="18.375" style="1" customWidth="1"/>
    <col min="15" max="16384" width="9" style="1"/>
  </cols>
  <sheetData>
    <row r="1" spans="1:14" ht="16.5">
      <c r="A1" s="2" t="s">
        <v>13</v>
      </c>
      <c r="B1" s="3" t="s">
        <v>161</v>
      </c>
      <c r="C1" s="2" t="s">
        <v>14</v>
      </c>
      <c r="D1" s="61" t="s">
        <v>158</v>
      </c>
      <c r="E1" s="61"/>
      <c r="F1" s="2" t="s">
        <v>10</v>
      </c>
      <c r="G1" s="2"/>
      <c r="H1" s="3">
        <v>1</v>
      </c>
      <c r="I1" s="1" t="str">
        <f>"create table "&amp;B1&amp;" ("</f>
        <v>create table sl_lock_authorization (</v>
      </c>
      <c r="N1" s="7" t="s">
        <v>8</v>
      </c>
    </row>
    <row r="2" spans="1:14">
      <c r="A2" s="4" t="s">
        <v>15</v>
      </c>
      <c r="B2" s="4" t="s">
        <v>16</v>
      </c>
      <c r="C2" s="4" t="s">
        <v>17</v>
      </c>
      <c r="D2" s="4" t="s">
        <v>19</v>
      </c>
      <c r="E2" s="4" t="s">
        <v>20</v>
      </c>
      <c r="F2" s="4" t="s">
        <v>21</v>
      </c>
      <c r="G2" s="4" t="s">
        <v>61</v>
      </c>
      <c r="H2" s="4" t="s">
        <v>9</v>
      </c>
      <c r="I2" s="24"/>
      <c r="J2" s="24"/>
      <c r="K2" s="24"/>
    </row>
    <row r="3" spans="1:14" ht="16.5">
      <c r="A3" s="3" t="s">
        <v>22</v>
      </c>
      <c r="B3" s="3" t="s">
        <v>119</v>
      </c>
      <c r="C3" s="3">
        <v>18</v>
      </c>
      <c r="D3" s="3" t="s">
        <v>23</v>
      </c>
      <c r="E3" s="3" t="s">
        <v>52</v>
      </c>
      <c r="F3" s="3"/>
      <c r="G3" s="3" t="s">
        <v>70</v>
      </c>
      <c r="H3" s="3" t="s">
        <v>120</v>
      </c>
      <c r="I3" s="22" t="str">
        <f t="shared" ref="I3:I12" si="0">A3&amp;" "&amp;B3&amp;"("&amp;C3&amp;") "&amp;E3&amp;" "&amp;F3&amp;","</f>
        <v>id bigint(18) NOT NULL ,</v>
      </c>
      <c r="J3" s="1" t="str">
        <f t="shared" ref="J3:J12" si="1">"{""field"":"""&amp;A3&amp;""",""name"":"""&amp;G3&amp;""",""dataType"":"""&amp;B3&amp;"""},"</f>
        <v>{"field":"id","name":"编号","dataType":"bigint"},</v>
      </c>
      <c r="K3" s="1" t="str">
        <f t="shared" ref="K3:K12" si="2">"{""field"":"""&amp;A3&amp;""",""labelRegexp"":"""&amp;G3&amp;""",""excelRangeType"":""table""},"</f>
        <v>{"field":"id","labelRegexp":"编号","excelRangeType":"table"},</v>
      </c>
      <c r="L3" s="1" t="str">
        <f>"{""field"":"""&amp;A3&amp;""",""width"":150},"</f>
        <v>{"field":"id","width":150},</v>
      </c>
    </row>
    <row r="4" spans="1:14" ht="16.5">
      <c r="A4" s="3" t="s">
        <v>154</v>
      </c>
      <c r="B4" s="3"/>
      <c r="C4" s="3"/>
      <c r="D4" s="3"/>
      <c r="E4" s="3"/>
      <c r="F4" s="3"/>
      <c r="G4" s="29" t="s">
        <v>98</v>
      </c>
      <c r="H4" s="5" t="s">
        <v>155</v>
      </c>
      <c r="I4" s="22"/>
      <c r="J4" s="1" t="str">
        <f t="shared" si="1"/>
        <v>{"field":"locks","name":"智能锁","dataType":""},</v>
      </c>
      <c r="K4" s="1" t="str">
        <f t="shared" si="2"/>
        <v>{"field":"locks","labelRegexp":"智能锁","excelRangeType":"table"},</v>
      </c>
      <c r="L4" s="1" t="str">
        <f t="shared" ref="L4:L12" si="3">"{""field"":"""&amp;A4&amp;""",""width"":150},"</f>
        <v>{"field":"locks","width":150},</v>
      </c>
    </row>
    <row r="5" spans="1:14" ht="16.5">
      <c r="A5" s="30" t="s">
        <v>156</v>
      </c>
      <c r="B5" s="30"/>
      <c r="C5" s="30"/>
      <c r="D5" s="30"/>
      <c r="E5" s="30"/>
      <c r="F5" s="30"/>
      <c r="G5" s="31" t="s">
        <v>129</v>
      </c>
      <c r="H5" s="33" t="s">
        <v>157</v>
      </c>
      <c r="I5" s="22"/>
    </row>
    <row r="6" spans="1:14" ht="49.5">
      <c r="A6" s="30" t="s">
        <v>216</v>
      </c>
      <c r="B6" s="30" t="s">
        <v>219</v>
      </c>
      <c r="C6" s="30">
        <v>3</v>
      </c>
      <c r="D6" s="30" t="s">
        <v>206</v>
      </c>
      <c r="E6" s="30" t="s">
        <v>52</v>
      </c>
      <c r="F6" s="30" t="s">
        <v>220</v>
      </c>
      <c r="G6" s="69" t="s">
        <v>217</v>
      </c>
      <c r="H6" s="33" t="s">
        <v>218</v>
      </c>
      <c r="I6" s="22" t="str">
        <f t="shared" si="0"/>
        <v>close_delay varchar(3) NOT NULL DEFAULT '010',</v>
      </c>
      <c r="J6" s="1" t="str">
        <f t="shared" si="1"/>
        <v>{"field":"close_delay","name":"闭锁延迟","dataType":"varchar"},</v>
      </c>
    </row>
    <row r="7" spans="1:14" ht="16.5">
      <c r="A7" s="3" t="s">
        <v>62</v>
      </c>
      <c r="B7" s="3" t="s">
        <v>43</v>
      </c>
      <c r="C7" s="3">
        <v>255</v>
      </c>
      <c r="D7" s="3" t="s">
        <v>24</v>
      </c>
      <c r="E7" s="3" t="s">
        <v>51</v>
      </c>
      <c r="F7" s="3"/>
      <c r="G7" s="29" t="s">
        <v>68</v>
      </c>
      <c r="H7" s="25"/>
      <c r="I7" s="22" t="str">
        <f t="shared" si="0"/>
        <v>remark varchar(255) NULL ,</v>
      </c>
      <c r="J7" s="1" t="str">
        <f t="shared" si="1"/>
        <v>{"field":"remark","name":"备注","dataType":"varchar"},</v>
      </c>
    </row>
    <row r="8" spans="1:14" ht="16.5">
      <c r="A8" s="3" t="s">
        <v>44</v>
      </c>
      <c r="B8" s="3" t="s">
        <v>50</v>
      </c>
      <c r="C8" s="3">
        <v>0</v>
      </c>
      <c r="D8" s="3" t="s">
        <v>24</v>
      </c>
      <c r="E8" s="3" t="s">
        <v>52</v>
      </c>
      <c r="F8" s="3"/>
      <c r="G8" s="11" t="s">
        <v>56</v>
      </c>
      <c r="H8" s="11" t="s">
        <v>56</v>
      </c>
      <c r="I8" s="22" t="str">
        <f t="shared" si="0"/>
        <v>create_time datetime(0) NOT NULL ,</v>
      </c>
      <c r="J8" s="1" t="str">
        <f t="shared" si="1"/>
        <v>{"field":"create_time","name":"记录创建时间","dataType":"datetime"},</v>
      </c>
      <c r="K8" s="1" t="str">
        <f t="shared" si="2"/>
        <v>{"field":"create_time","labelRegexp":"记录创建时间","excelRangeType":"table"},</v>
      </c>
      <c r="L8" s="1" t="str">
        <f t="shared" si="3"/>
        <v>{"field":"create_time","width":150},</v>
      </c>
    </row>
    <row r="9" spans="1:14" ht="16.5">
      <c r="A9" s="3" t="s">
        <v>42</v>
      </c>
      <c r="B9" s="21" t="s">
        <v>43</v>
      </c>
      <c r="C9" s="21">
        <v>25</v>
      </c>
      <c r="D9" s="3" t="s">
        <v>24</v>
      </c>
      <c r="E9" s="3" t="s">
        <v>52</v>
      </c>
      <c r="F9" s="3"/>
      <c r="G9" s="11" t="s">
        <v>57</v>
      </c>
      <c r="H9" s="11" t="s">
        <v>57</v>
      </c>
      <c r="I9" s="22" t="str">
        <f t="shared" si="0"/>
        <v>create_user varchar(25) NOT NULL ,</v>
      </c>
      <c r="J9" s="1" t="str">
        <f t="shared" si="1"/>
        <v>{"field":"create_user","name":"记录创建人","dataType":"varchar"},</v>
      </c>
      <c r="K9" s="1" t="str">
        <f t="shared" si="2"/>
        <v>{"field":"create_user","labelRegexp":"记录创建人","excelRangeType":"table"},</v>
      </c>
      <c r="L9" s="1" t="str">
        <f>"{""field"":"""&amp;A9&amp;""",""width"":150},"</f>
        <v>{"field":"create_user","width":150},</v>
      </c>
    </row>
    <row r="10" spans="1:14" ht="16.5">
      <c r="A10" s="3" t="s">
        <v>53</v>
      </c>
      <c r="B10" s="3" t="s">
        <v>50</v>
      </c>
      <c r="C10" s="3">
        <v>0</v>
      </c>
      <c r="D10" s="3" t="s">
        <v>24</v>
      </c>
      <c r="E10" s="3" t="s">
        <v>52</v>
      </c>
      <c r="F10" s="3"/>
      <c r="G10" s="11" t="s">
        <v>58</v>
      </c>
      <c r="H10" s="11" t="s">
        <v>58</v>
      </c>
      <c r="I10" s="22" t="str">
        <f t="shared" si="0"/>
        <v>update_time datetime(0) NOT NULL ,</v>
      </c>
      <c r="J10" s="1" t="str">
        <f t="shared" si="1"/>
        <v>{"field":"update_time","name":"记录更新时间","dataType":"datetime"},</v>
      </c>
      <c r="K10" s="1" t="str">
        <f t="shared" si="2"/>
        <v>{"field":"update_time","labelRegexp":"记录更新时间","excelRangeType":"table"},</v>
      </c>
      <c r="L10" s="1" t="str">
        <f t="shared" si="3"/>
        <v>{"field":"update_time","width":150},</v>
      </c>
    </row>
    <row r="11" spans="1:14" ht="16.5">
      <c r="A11" s="3" t="s">
        <v>54</v>
      </c>
      <c r="B11" s="21" t="s">
        <v>43</v>
      </c>
      <c r="C11" s="21">
        <v>25</v>
      </c>
      <c r="D11" s="3" t="s">
        <v>24</v>
      </c>
      <c r="E11" s="3" t="s">
        <v>52</v>
      </c>
      <c r="F11" s="3"/>
      <c r="G11" s="11" t="s">
        <v>59</v>
      </c>
      <c r="H11" s="11" t="s">
        <v>59</v>
      </c>
      <c r="I11" s="22" t="str">
        <f t="shared" si="0"/>
        <v>update_user varchar(25) NOT NULL ,</v>
      </c>
      <c r="J11" s="1" t="str">
        <f t="shared" si="1"/>
        <v>{"field":"update_user","name":"记录更新人","dataType":"varchar"},</v>
      </c>
      <c r="K11" s="1" t="str">
        <f t="shared" si="2"/>
        <v>{"field":"update_user","labelRegexp":"记录更新人","excelRangeType":"table"},</v>
      </c>
      <c r="L11" s="1" t="str">
        <f t="shared" si="3"/>
        <v>{"field":"update_user","width":150},</v>
      </c>
    </row>
    <row r="12" spans="1:14" ht="16.5">
      <c r="A12" s="3" t="s">
        <v>25</v>
      </c>
      <c r="B12" s="3" t="s">
        <v>41</v>
      </c>
      <c r="C12" s="3">
        <v>11</v>
      </c>
      <c r="D12" s="3" t="s">
        <v>24</v>
      </c>
      <c r="E12" s="3" t="s">
        <v>52</v>
      </c>
      <c r="F12" s="3" t="s">
        <v>55</v>
      </c>
      <c r="G12" s="3" t="s">
        <v>60</v>
      </c>
      <c r="H12" s="3" t="s">
        <v>60</v>
      </c>
      <c r="I12" s="22" t="str">
        <f t="shared" si="0"/>
        <v>version int(11) NOT NULL DEFAULT 0,</v>
      </c>
      <c r="J12" s="1" t="str">
        <f t="shared" si="1"/>
        <v>{"field":"version","name":"数据版本号","dataType":"int"},</v>
      </c>
      <c r="K12" s="1" t="str">
        <f t="shared" si="2"/>
        <v>{"field":"version","labelRegexp":"数据版本号","excelRangeType":"table"},</v>
      </c>
      <c r="L12" s="1" t="str">
        <f t="shared" si="3"/>
        <v>{"field":"version","width":150},</v>
      </c>
    </row>
    <row r="13" spans="1:14">
      <c r="I13" s="1" t="str">
        <f>"PRIMARY KEY (`id`) USING BTREE)"</f>
        <v>PRIMARY KEY (`id`) USING BTREE)</v>
      </c>
    </row>
  </sheetData>
  <mergeCells count="1">
    <mergeCell ref="D1:E1"/>
  </mergeCells>
  <phoneticPr fontId="14" type="noConversion"/>
  <hyperlinks>
    <hyperlink ref="N1" location="目录!A1" display="目录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1"/>
  <sheetViews>
    <sheetView workbookViewId="0">
      <selection activeCell="A23" sqref="A23"/>
    </sheetView>
  </sheetViews>
  <sheetFormatPr defaultColWidth="9" defaultRowHeight="14.25"/>
  <cols>
    <col min="1" max="1" width="26.25" style="1" bestFit="1" customWidth="1"/>
    <col min="2" max="2" width="35.375" style="1" customWidth="1"/>
    <col min="3" max="3" width="6.75" style="1" bestFit="1" customWidth="1"/>
    <col min="4" max="4" width="5.375" style="1" bestFit="1" customWidth="1"/>
    <col min="5" max="5" width="28.25" style="1" customWidth="1"/>
    <col min="6" max="6" width="13.875" style="1" bestFit="1" customWidth="1"/>
    <col min="7" max="7" width="25.75" style="1" bestFit="1" customWidth="1"/>
    <col min="8" max="8" width="34.625" style="1" customWidth="1"/>
    <col min="9" max="11" width="59.375" style="1" customWidth="1"/>
    <col min="12" max="12" width="44.625" style="1" bestFit="1" customWidth="1"/>
    <col min="13" max="13" width="44.625" style="1" customWidth="1"/>
    <col min="14" max="14" width="18.375" style="1" customWidth="1"/>
    <col min="15" max="16384" width="9" style="1"/>
  </cols>
  <sheetData>
    <row r="1" spans="1:14" ht="16.5">
      <c r="A1" s="2" t="s">
        <v>13</v>
      </c>
      <c r="B1" s="3" t="s">
        <v>166</v>
      </c>
      <c r="C1" s="2" t="s">
        <v>14</v>
      </c>
      <c r="D1" s="61" t="s">
        <v>167</v>
      </c>
      <c r="E1" s="61"/>
      <c r="F1" s="2" t="s">
        <v>10</v>
      </c>
      <c r="G1" s="2"/>
      <c r="H1" s="3">
        <v>1</v>
      </c>
      <c r="I1" s="1" t="str">
        <f>"create table "&amp;B1&amp;" ("</f>
        <v>create table sl_lock_authorization_sl_person (</v>
      </c>
      <c r="N1" s="7" t="s">
        <v>8</v>
      </c>
    </row>
    <row r="2" spans="1:14">
      <c r="A2" s="4" t="s">
        <v>15</v>
      </c>
      <c r="B2" s="4" t="s">
        <v>16</v>
      </c>
      <c r="C2" s="4" t="s">
        <v>17</v>
      </c>
      <c r="D2" s="4" t="s">
        <v>19</v>
      </c>
      <c r="E2" s="4" t="s">
        <v>20</v>
      </c>
      <c r="F2" s="4" t="s">
        <v>21</v>
      </c>
      <c r="G2" s="4" t="s">
        <v>61</v>
      </c>
      <c r="H2" s="4" t="s">
        <v>9</v>
      </c>
      <c r="I2" s="24"/>
      <c r="J2" s="24"/>
      <c r="K2" s="24"/>
    </row>
    <row r="3" spans="1:14" ht="16.5">
      <c r="A3" s="3" t="s">
        <v>22</v>
      </c>
      <c r="B3" s="3" t="s">
        <v>119</v>
      </c>
      <c r="C3" s="3">
        <v>18</v>
      </c>
      <c r="D3" s="3" t="s">
        <v>23</v>
      </c>
      <c r="E3" s="3" t="s">
        <v>52</v>
      </c>
      <c r="F3" s="3"/>
      <c r="G3" s="3" t="s">
        <v>70</v>
      </c>
      <c r="H3" s="3" t="s">
        <v>120</v>
      </c>
      <c r="I3" s="22" t="str">
        <f t="shared" ref="I3:I10" si="0">A3&amp;" "&amp;B3&amp;"("&amp;C3&amp;") "&amp;E3&amp;" "&amp;F3&amp;","</f>
        <v>id bigint(18) NOT NULL ,</v>
      </c>
      <c r="J3" s="1" t="str">
        <f t="shared" ref="J3:J10" si="1">"{""field"":"""&amp;A3&amp;""",""name"":"""&amp;G3&amp;""",""dataType"":"""&amp;B3&amp;"""},"</f>
        <v>{"field":"id","name":"编号","dataType":"bigint"},</v>
      </c>
      <c r="K3" s="1" t="str">
        <f t="shared" ref="K3:K10" si="2">"{""field"":"""&amp;A3&amp;""",""labelRegexp"":"""&amp;G3&amp;""",""excelRangeType"":""table""},"</f>
        <v>{"field":"id","labelRegexp":"编号","excelRangeType":"table"},</v>
      </c>
      <c r="L3" s="1" t="str">
        <f>"{""field"":"""&amp;A3&amp;""",""width"":150},"</f>
        <v>{"field":"id","width":150},</v>
      </c>
    </row>
    <row r="4" spans="1:14" ht="16.5">
      <c r="A4" s="30" t="s">
        <v>162</v>
      </c>
      <c r="B4" s="3" t="s">
        <v>119</v>
      </c>
      <c r="C4" s="3">
        <v>18</v>
      </c>
      <c r="D4" s="3" t="s">
        <v>23</v>
      </c>
      <c r="E4" s="3" t="s">
        <v>52</v>
      </c>
      <c r="F4" s="3"/>
      <c r="G4" s="3" t="s">
        <v>70</v>
      </c>
      <c r="H4" s="33" t="s">
        <v>163</v>
      </c>
      <c r="I4" s="22" t="str">
        <f t="shared" si="0"/>
        <v>sl_lock_authorization_id bigint(18) NOT NULL ,</v>
      </c>
      <c r="J4" s="1" t="str">
        <f t="shared" si="1"/>
        <v>{"field":"sl_lock_authorization_id","name":"编号","dataType":"bigint"},</v>
      </c>
      <c r="K4" s="1" t="str">
        <f t="shared" si="2"/>
        <v>{"field":"sl_lock_authorization_id","labelRegexp":"编号","excelRangeType":"table"},</v>
      </c>
      <c r="L4" s="1" t="str">
        <f t="shared" ref="L4:L10" si="3">"{""field"":"""&amp;A4&amp;""",""width"":150},"</f>
        <v>{"field":"sl_lock_authorization_id","width":150},</v>
      </c>
    </row>
    <row r="5" spans="1:14" ht="16.5">
      <c r="A5" s="30" t="s">
        <v>168</v>
      </c>
      <c r="B5" s="3" t="s">
        <v>43</v>
      </c>
      <c r="C5" s="3">
        <v>20</v>
      </c>
      <c r="D5" s="3" t="s">
        <v>23</v>
      </c>
      <c r="E5" s="3" t="s">
        <v>52</v>
      </c>
      <c r="F5" s="3"/>
      <c r="G5" s="3" t="s">
        <v>79</v>
      </c>
      <c r="H5" s="33" t="s">
        <v>176</v>
      </c>
      <c r="I5" s="22" t="str">
        <f t="shared" si="0"/>
        <v>sl_person_id varchar(20) NOT NULL ,</v>
      </c>
    </row>
    <row r="6" spans="1:14" ht="16.5">
      <c r="A6" s="3" t="s">
        <v>44</v>
      </c>
      <c r="B6" s="3" t="s">
        <v>50</v>
      </c>
      <c r="C6" s="3">
        <v>0</v>
      </c>
      <c r="D6" s="3" t="s">
        <v>24</v>
      </c>
      <c r="E6" s="3" t="s">
        <v>52</v>
      </c>
      <c r="F6" s="3"/>
      <c r="G6" s="11" t="s">
        <v>56</v>
      </c>
      <c r="H6" s="11" t="s">
        <v>56</v>
      </c>
      <c r="I6" s="22" t="str">
        <f t="shared" si="0"/>
        <v>create_time datetime(0) NOT NULL ,</v>
      </c>
      <c r="J6" s="1" t="str">
        <f t="shared" si="1"/>
        <v>{"field":"create_time","name":"记录创建时间","dataType":"datetime"},</v>
      </c>
      <c r="K6" s="1" t="str">
        <f t="shared" si="2"/>
        <v>{"field":"create_time","labelRegexp":"记录创建时间","excelRangeType":"table"},</v>
      </c>
      <c r="L6" s="1" t="str">
        <f t="shared" si="3"/>
        <v>{"field":"create_time","width":150},</v>
      </c>
    </row>
    <row r="7" spans="1:14" ht="16.5">
      <c r="A7" s="3" t="s">
        <v>42</v>
      </c>
      <c r="B7" s="21" t="s">
        <v>43</v>
      </c>
      <c r="C7" s="21">
        <v>25</v>
      </c>
      <c r="D7" s="3" t="s">
        <v>24</v>
      </c>
      <c r="E7" s="3" t="s">
        <v>52</v>
      </c>
      <c r="F7" s="3"/>
      <c r="G7" s="11" t="s">
        <v>57</v>
      </c>
      <c r="H7" s="11" t="s">
        <v>57</v>
      </c>
      <c r="I7" s="22" t="str">
        <f t="shared" si="0"/>
        <v>create_user varchar(25) NOT NULL ,</v>
      </c>
      <c r="J7" s="1" t="str">
        <f t="shared" si="1"/>
        <v>{"field":"create_user","name":"记录创建人","dataType":"varchar"},</v>
      </c>
      <c r="K7" s="1" t="str">
        <f t="shared" si="2"/>
        <v>{"field":"create_user","labelRegexp":"记录创建人","excelRangeType":"table"},</v>
      </c>
      <c r="L7" s="1" t="str">
        <f>"{""field"":"""&amp;A7&amp;""",""width"":150},"</f>
        <v>{"field":"create_user","width":150},</v>
      </c>
    </row>
    <row r="8" spans="1:14" ht="16.5">
      <c r="A8" s="3" t="s">
        <v>53</v>
      </c>
      <c r="B8" s="3" t="s">
        <v>50</v>
      </c>
      <c r="C8" s="3">
        <v>0</v>
      </c>
      <c r="D8" s="3" t="s">
        <v>24</v>
      </c>
      <c r="E8" s="3" t="s">
        <v>52</v>
      </c>
      <c r="F8" s="3"/>
      <c r="G8" s="11" t="s">
        <v>58</v>
      </c>
      <c r="H8" s="11" t="s">
        <v>58</v>
      </c>
      <c r="I8" s="22" t="str">
        <f t="shared" si="0"/>
        <v>update_time datetime(0) NOT NULL ,</v>
      </c>
      <c r="J8" s="1" t="str">
        <f t="shared" si="1"/>
        <v>{"field":"update_time","name":"记录更新时间","dataType":"datetime"},</v>
      </c>
      <c r="K8" s="1" t="str">
        <f t="shared" si="2"/>
        <v>{"field":"update_time","labelRegexp":"记录更新时间","excelRangeType":"table"},</v>
      </c>
      <c r="L8" s="1" t="str">
        <f t="shared" si="3"/>
        <v>{"field":"update_time","width":150},</v>
      </c>
    </row>
    <row r="9" spans="1:14" ht="16.5">
      <c r="A9" s="3" t="s">
        <v>54</v>
      </c>
      <c r="B9" s="21" t="s">
        <v>43</v>
      </c>
      <c r="C9" s="21">
        <v>25</v>
      </c>
      <c r="D9" s="3" t="s">
        <v>24</v>
      </c>
      <c r="E9" s="3" t="s">
        <v>52</v>
      </c>
      <c r="F9" s="3"/>
      <c r="G9" s="11" t="s">
        <v>59</v>
      </c>
      <c r="H9" s="11" t="s">
        <v>59</v>
      </c>
      <c r="I9" s="22" t="str">
        <f t="shared" si="0"/>
        <v>update_user varchar(25) NOT NULL ,</v>
      </c>
      <c r="J9" s="1" t="str">
        <f t="shared" si="1"/>
        <v>{"field":"update_user","name":"记录更新人","dataType":"varchar"},</v>
      </c>
      <c r="K9" s="1" t="str">
        <f t="shared" si="2"/>
        <v>{"field":"update_user","labelRegexp":"记录更新人","excelRangeType":"table"},</v>
      </c>
      <c r="L9" s="1" t="str">
        <f t="shared" si="3"/>
        <v>{"field":"update_user","width":150},</v>
      </c>
    </row>
    <row r="10" spans="1:14" ht="16.5">
      <c r="A10" s="3" t="s">
        <v>25</v>
      </c>
      <c r="B10" s="3" t="s">
        <v>41</v>
      </c>
      <c r="C10" s="3">
        <v>11</v>
      </c>
      <c r="D10" s="3" t="s">
        <v>24</v>
      </c>
      <c r="E10" s="3" t="s">
        <v>52</v>
      </c>
      <c r="F10" s="3" t="s">
        <v>55</v>
      </c>
      <c r="G10" s="3" t="s">
        <v>60</v>
      </c>
      <c r="H10" s="3" t="s">
        <v>60</v>
      </c>
      <c r="I10" s="22" t="str">
        <f t="shared" si="0"/>
        <v>version int(11) NOT NULL DEFAULT 0,</v>
      </c>
      <c r="J10" s="1" t="str">
        <f t="shared" si="1"/>
        <v>{"field":"version","name":"数据版本号","dataType":"int"},</v>
      </c>
      <c r="K10" s="1" t="str">
        <f t="shared" si="2"/>
        <v>{"field":"version","labelRegexp":"数据版本号","excelRangeType":"table"},</v>
      </c>
      <c r="L10" s="1" t="str">
        <f t="shared" si="3"/>
        <v>{"field":"version","width":150},</v>
      </c>
    </row>
    <row r="11" spans="1:14">
      <c r="I11" s="1" t="str">
        <f>"PRIMARY KEY (`id`) USING BTREE)"</f>
        <v>PRIMARY KEY (`id`) USING BTREE)</v>
      </c>
    </row>
  </sheetData>
  <mergeCells count="1">
    <mergeCell ref="D1:E1"/>
  </mergeCells>
  <phoneticPr fontId="12" type="noConversion"/>
  <hyperlinks>
    <hyperlink ref="N1" location="目录!A1" display="目录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1"/>
  <sheetViews>
    <sheetView workbookViewId="0">
      <selection activeCell="B19" sqref="B19"/>
    </sheetView>
  </sheetViews>
  <sheetFormatPr defaultColWidth="9" defaultRowHeight="14.25"/>
  <cols>
    <col min="1" max="1" width="26.25" style="1" bestFit="1" customWidth="1"/>
    <col min="2" max="2" width="25" style="1" customWidth="1"/>
    <col min="3" max="3" width="6.75" style="1" bestFit="1" customWidth="1"/>
    <col min="4" max="4" width="5.375" style="1" bestFit="1" customWidth="1"/>
    <col min="5" max="5" width="19.375" style="1" customWidth="1"/>
    <col min="6" max="6" width="13.875" style="1" bestFit="1" customWidth="1"/>
    <col min="7" max="7" width="25.75" style="1" bestFit="1" customWidth="1"/>
    <col min="8" max="8" width="34.625" style="1" customWidth="1"/>
    <col min="9" max="11" width="59.375" style="1" customWidth="1"/>
    <col min="12" max="12" width="44.625" style="1" bestFit="1" customWidth="1"/>
    <col min="13" max="13" width="44.625" style="1" customWidth="1"/>
    <col min="14" max="14" width="18.375" style="1" customWidth="1"/>
    <col min="15" max="16384" width="9" style="1"/>
  </cols>
  <sheetData>
    <row r="1" spans="1:14" ht="16.5">
      <c r="A1" s="2" t="s">
        <v>13</v>
      </c>
      <c r="B1" s="3" t="s">
        <v>160</v>
      </c>
      <c r="C1" s="2" t="s">
        <v>14</v>
      </c>
      <c r="D1" s="61" t="s">
        <v>164</v>
      </c>
      <c r="E1" s="61"/>
      <c r="F1" s="2" t="s">
        <v>10</v>
      </c>
      <c r="G1" s="2"/>
      <c r="H1" s="3">
        <v>1</v>
      </c>
      <c r="I1" s="1" t="str">
        <f>"create table "&amp;B1&amp;" ("</f>
        <v>create table sl_lock_sl_lock_authorization (</v>
      </c>
      <c r="N1" s="7" t="s">
        <v>8</v>
      </c>
    </row>
    <row r="2" spans="1:14">
      <c r="A2" s="4" t="s">
        <v>15</v>
      </c>
      <c r="B2" s="4" t="s">
        <v>16</v>
      </c>
      <c r="C2" s="4" t="s">
        <v>17</v>
      </c>
      <c r="D2" s="4" t="s">
        <v>19</v>
      </c>
      <c r="E2" s="4" t="s">
        <v>20</v>
      </c>
      <c r="F2" s="4" t="s">
        <v>21</v>
      </c>
      <c r="G2" s="4" t="s">
        <v>61</v>
      </c>
      <c r="H2" s="4" t="s">
        <v>9</v>
      </c>
      <c r="I2" s="24"/>
      <c r="J2" s="24"/>
      <c r="K2" s="24"/>
    </row>
    <row r="3" spans="1:14" ht="16.5">
      <c r="A3" s="3" t="s">
        <v>22</v>
      </c>
      <c r="B3" s="3" t="s">
        <v>119</v>
      </c>
      <c r="C3" s="3">
        <v>18</v>
      </c>
      <c r="D3" s="3" t="s">
        <v>23</v>
      </c>
      <c r="E3" s="3" t="s">
        <v>52</v>
      </c>
      <c r="F3" s="3"/>
      <c r="G3" s="3" t="s">
        <v>70</v>
      </c>
      <c r="H3" s="3" t="s">
        <v>120</v>
      </c>
      <c r="I3" s="22" t="str">
        <f t="shared" ref="I3:I10" si="0">A3&amp;" "&amp;B3&amp;"("&amp;C3&amp;") "&amp;E3&amp;" "&amp;F3&amp;","</f>
        <v>id bigint(18) NOT NULL ,</v>
      </c>
      <c r="J3" s="1" t="str">
        <f t="shared" ref="J3:J10" si="1">"{""field"":"""&amp;A3&amp;""",""name"":"""&amp;G3&amp;""",""dataType"":"""&amp;B3&amp;"""},"</f>
        <v>{"field":"id","name":"编号","dataType":"bigint"},</v>
      </c>
      <c r="K3" s="1" t="str">
        <f t="shared" ref="K3:K10" si="2">"{""field"":"""&amp;A3&amp;""",""labelRegexp"":"""&amp;G3&amp;""",""excelRangeType"":""table""},"</f>
        <v>{"field":"id","labelRegexp":"编号","excelRangeType":"table"},</v>
      </c>
      <c r="L3" s="1" t="str">
        <f>"{""field"":"""&amp;A3&amp;""",""width"":150},"</f>
        <v>{"field":"id","width":150},</v>
      </c>
    </row>
    <row r="4" spans="1:14" ht="16.5">
      <c r="A4" s="3" t="s">
        <v>190</v>
      </c>
      <c r="B4" s="3" t="s">
        <v>43</v>
      </c>
      <c r="C4" s="3">
        <v>20</v>
      </c>
      <c r="D4" s="3" t="s">
        <v>23</v>
      </c>
      <c r="E4" s="3" t="s">
        <v>52</v>
      </c>
      <c r="F4" s="3"/>
      <c r="G4" s="3" t="s">
        <v>70</v>
      </c>
      <c r="H4" s="3" t="s">
        <v>175</v>
      </c>
      <c r="I4" s="22" t="str">
        <f t="shared" si="0"/>
        <v>sl_lock_id varchar(20) NOT NULL ,</v>
      </c>
      <c r="J4" s="1" t="str">
        <f t="shared" si="1"/>
        <v>{"field":"sl_lock_id","name":"编号","dataType":"varchar"},</v>
      </c>
      <c r="K4" s="1" t="str">
        <f t="shared" si="2"/>
        <v>{"field":"sl_lock_id","labelRegexp":"编号","excelRangeType":"table"},</v>
      </c>
      <c r="L4" s="1" t="str">
        <f t="shared" ref="L4:L10" si="3">"{""field"":"""&amp;A4&amp;""",""width"":150},"</f>
        <v>{"field":"sl_lock_id","width":150},</v>
      </c>
    </row>
    <row r="5" spans="1:14" ht="16.5">
      <c r="A5" s="30" t="s">
        <v>162</v>
      </c>
      <c r="B5" s="3" t="s">
        <v>119</v>
      </c>
      <c r="C5" s="3">
        <v>18</v>
      </c>
      <c r="D5" s="3" t="s">
        <v>23</v>
      </c>
      <c r="E5" s="3" t="s">
        <v>52</v>
      </c>
      <c r="F5" s="3"/>
      <c r="G5" s="3" t="s">
        <v>70</v>
      </c>
      <c r="H5" s="33" t="s">
        <v>163</v>
      </c>
      <c r="I5" s="22" t="str">
        <f t="shared" si="0"/>
        <v>sl_lock_authorization_id bigint(18) NOT NULL ,</v>
      </c>
    </row>
    <row r="6" spans="1:14" ht="16.5">
      <c r="A6" s="3" t="s">
        <v>44</v>
      </c>
      <c r="B6" s="3" t="s">
        <v>50</v>
      </c>
      <c r="C6" s="3">
        <v>0</v>
      </c>
      <c r="D6" s="3" t="s">
        <v>24</v>
      </c>
      <c r="E6" s="3" t="s">
        <v>52</v>
      </c>
      <c r="F6" s="3"/>
      <c r="G6" s="11" t="s">
        <v>56</v>
      </c>
      <c r="H6" s="11" t="s">
        <v>56</v>
      </c>
      <c r="I6" s="22" t="str">
        <f t="shared" si="0"/>
        <v>create_time datetime(0) NOT NULL ,</v>
      </c>
      <c r="J6" s="1" t="str">
        <f t="shared" si="1"/>
        <v>{"field":"create_time","name":"记录创建时间","dataType":"datetime"},</v>
      </c>
      <c r="K6" s="1" t="str">
        <f t="shared" si="2"/>
        <v>{"field":"create_time","labelRegexp":"记录创建时间","excelRangeType":"table"},</v>
      </c>
      <c r="L6" s="1" t="str">
        <f t="shared" si="3"/>
        <v>{"field":"create_time","width":150},</v>
      </c>
    </row>
    <row r="7" spans="1:14" ht="16.5">
      <c r="A7" s="3" t="s">
        <v>42</v>
      </c>
      <c r="B7" s="21" t="s">
        <v>43</v>
      </c>
      <c r="C7" s="21">
        <v>25</v>
      </c>
      <c r="D7" s="3" t="s">
        <v>24</v>
      </c>
      <c r="E7" s="3" t="s">
        <v>52</v>
      </c>
      <c r="F7" s="3"/>
      <c r="G7" s="11" t="s">
        <v>57</v>
      </c>
      <c r="H7" s="11" t="s">
        <v>57</v>
      </c>
      <c r="I7" s="22" t="str">
        <f t="shared" si="0"/>
        <v>create_user varchar(25) NOT NULL ,</v>
      </c>
      <c r="J7" s="1" t="str">
        <f t="shared" si="1"/>
        <v>{"field":"create_user","name":"记录创建人","dataType":"varchar"},</v>
      </c>
      <c r="K7" s="1" t="str">
        <f t="shared" si="2"/>
        <v>{"field":"create_user","labelRegexp":"记录创建人","excelRangeType":"table"},</v>
      </c>
      <c r="L7" s="1" t="str">
        <f>"{""field"":"""&amp;A7&amp;""",""width"":150},"</f>
        <v>{"field":"create_user","width":150},</v>
      </c>
    </row>
    <row r="8" spans="1:14" ht="16.5">
      <c r="A8" s="3" t="s">
        <v>53</v>
      </c>
      <c r="B8" s="3" t="s">
        <v>50</v>
      </c>
      <c r="C8" s="3">
        <v>0</v>
      </c>
      <c r="D8" s="3" t="s">
        <v>24</v>
      </c>
      <c r="E8" s="3" t="s">
        <v>52</v>
      </c>
      <c r="F8" s="3"/>
      <c r="G8" s="11" t="s">
        <v>58</v>
      </c>
      <c r="H8" s="11" t="s">
        <v>58</v>
      </c>
      <c r="I8" s="22" t="str">
        <f t="shared" si="0"/>
        <v>update_time datetime(0) NOT NULL ,</v>
      </c>
      <c r="J8" s="1" t="str">
        <f t="shared" si="1"/>
        <v>{"field":"update_time","name":"记录更新时间","dataType":"datetime"},</v>
      </c>
      <c r="K8" s="1" t="str">
        <f t="shared" si="2"/>
        <v>{"field":"update_time","labelRegexp":"记录更新时间","excelRangeType":"table"},</v>
      </c>
      <c r="L8" s="1" t="str">
        <f t="shared" si="3"/>
        <v>{"field":"update_time","width":150},</v>
      </c>
    </row>
    <row r="9" spans="1:14" ht="16.5">
      <c r="A9" s="3" t="s">
        <v>54</v>
      </c>
      <c r="B9" s="21" t="s">
        <v>43</v>
      </c>
      <c r="C9" s="21">
        <v>25</v>
      </c>
      <c r="D9" s="3" t="s">
        <v>24</v>
      </c>
      <c r="E9" s="3" t="s">
        <v>52</v>
      </c>
      <c r="F9" s="3"/>
      <c r="G9" s="11" t="s">
        <v>59</v>
      </c>
      <c r="H9" s="11" t="s">
        <v>59</v>
      </c>
      <c r="I9" s="22" t="str">
        <f t="shared" si="0"/>
        <v>update_user varchar(25) NOT NULL ,</v>
      </c>
      <c r="J9" s="1" t="str">
        <f t="shared" si="1"/>
        <v>{"field":"update_user","name":"记录更新人","dataType":"varchar"},</v>
      </c>
      <c r="K9" s="1" t="str">
        <f t="shared" si="2"/>
        <v>{"field":"update_user","labelRegexp":"记录更新人","excelRangeType":"table"},</v>
      </c>
      <c r="L9" s="1" t="str">
        <f t="shared" si="3"/>
        <v>{"field":"update_user","width":150},</v>
      </c>
    </row>
    <row r="10" spans="1:14" ht="16.5">
      <c r="A10" s="3" t="s">
        <v>25</v>
      </c>
      <c r="B10" s="3" t="s">
        <v>41</v>
      </c>
      <c r="C10" s="3">
        <v>11</v>
      </c>
      <c r="D10" s="3" t="s">
        <v>24</v>
      </c>
      <c r="E10" s="3" t="s">
        <v>52</v>
      </c>
      <c r="F10" s="3" t="s">
        <v>55</v>
      </c>
      <c r="G10" s="3" t="s">
        <v>60</v>
      </c>
      <c r="H10" s="3" t="s">
        <v>60</v>
      </c>
      <c r="I10" s="22" t="str">
        <f t="shared" si="0"/>
        <v>version int(11) NOT NULL DEFAULT 0,</v>
      </c>
      <c r="J10" s="1" t="str">
        <f t="shared" si="1"/>
        <v>{"field":"version","name":"数据版本号","dataType":"int"},</v>
      </c>
      <c r="K10" s="1" t="str">
        <f t="shared" si="2"/>
        <v>{"field":"version","labelRegexp":"数据版本号","excelRangeType":"table"},</v>
      </c>
      <c r="L10" s="1" t="str">
        <f t="shared" si="3"/>
        <v>{"field":"version","width":150},</v>
      </c>
    </row>
    <row r="11" spans="1:14">
      <c r="I11" s="1" t="str">
        <f>"PRIMARY KEY (`id`) USING BTREE)"</f>
        <v>PRIMARY KEY (`id`) USING BTREE)</v>
      </c>
    </row>
  </sheetData>
  <mergeCells count="1">
    <mergeCell ref="D1:E1"/>
  </mergeCells>
  <phoneticPr fontId="14" type="noConversion"/>
  <hyperlinks>
    <hyperlink ref="N1" location="目录!A1" display="目录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1"/>
  <sheetViews>
    <sheetView workbookViewId="0"/>
  </sheetViews>
  <sheetFormatPr defaultColWidth="9" defaultRowHeight="14.25"/>
  <cols>
    <col min="1" max="1" width="26.25" style="1" bestFit="1" customWidth="1"/>
    <col min="2" max="2" width="35.375" style="1" customWidth="1"/>
    <col min="3" max="3" width="6.75" style="1" bestFit="1" customWidth="1"/>
    <col min="4" max="4" width="5.375" style="1" bestFit="1" customWidth="1"/>
    <col min="5" max="5" width="28.25" style="1" customWidth="1"/>
    <col min="6" max="6" width="13.875" style="1" bestFit="1" customWidth="1"/>
    <col min="7" max="7" width="25.75" style="1" bestFit="1" customWidth="1"/>
    <col min="8" max="8" width="34.625" style="1" customWidth="1"/>
    <col min="9" max="11" width="59.375" style="1" customWidth="1"/>
    <col min="12" max="12" width="44.625" style="1" bestFit="1" customWidth="1"/>
    <col min="13" max="13" width="44.625" style="1" customWidth="1"/>
    <col min="14" max="14" width="18.375" style="1" customWidth="1"/>
    <col min="15" max="16384" width="9" style="1"/>
  </cols>
  <sheetData>
    <row r="1" spans="1:14" ht="16.5">
      <c r="A1" s="2" t="s">
        <v>13</v>
      </c>
      <c r="B1" s="3" t="s">
        <v>169</v>
      </c>
      <c r="C1" s="2" t="s">
        <v>14</v>
      </c>
      <c r="D1" s="61" t="s">
        <v>170</v>
      </c>
      <c r="E1" s="61"/>
      <c r="F1" s="2" t="s">
        <v>10</v>
      </c>
      <c r="G1" s="2"/>
      <c r="H1" s="3">
        <v>1</v>
      </c>
      <c r="I1" s="1" t="str">
        <f>"create table "&amp;B1&amp;" ("</f>
        <v>create table sl_application_sl_key_authorization (</v>
      </c>
      <c r="N1" s="7" t="s">
        <v>8</v>
      </c>
    </row>
    <row r="2" spans="1:14">
      <c r="A2" s="4" t="s">
        <v>15</v>
      </c>
      <c r="B2" s="4" t="s">
        <v>16</v>
      </c>
      <c r="C2" s="4" t="s">
        <v>17</v>
      </c>
      <c r="D2" s="4" t="s">
        <v>19</v>
      </c>
      <c r="E2" s="4" t="s">
        <v>20</v>
      </c>
      <c r="F2" s="4" t="s">
        <v>21</v>
      </c>
      <c r="G2" s="4" t="s">
        <v>61</v>
      </c>
      <c r="H2" s="4" t="s">
        <v>9</v>
      </c>
      <c r="I2" s="24"/>
      <c r="J2" s="24"/>
      <c r="K2" s="24"/>
    </row>
    <row r="3" spans="1:14" ht="16.5">
      <c r="A3" s="3" t="s">
        <v>22</v>
      </c>
      <c r="B3" s="3" t="s">
        <v>119</v>
      </c>
      <c r="C3" s="3">
        <v>18</v>
      </c>
      <c r="D3" s="3" t="s">
        <v>23</v>
      </c>
      <c r="E3" s="3" t="s">
        <v>52</v>
      </c>
      <c r="F3" s="3"/>
      <c r="G3" s="3" t="s">
        <v>70</v>
      </c>
      <c r="H3" s="3" t="s">
        <v>120</v>
      </c>
      <c r="I3" s="22" t="str">
        <f t="shared" ref="I3:I10" si="0">A3&amp;" "&amp;B3&amp;"("&amp;C3&amp;") "&amp;E3&amp;" "&amp;F3&amp;","</f>
        <v>id bigint(18) NOT NULL ,</v>
      </c>
      <c r="J3" s="1" t="str">
        <f t="shared" ref="J3:J10" si="1">"{""field"":"""&amp;A3&amp;""",""name"":"""&amp;G3&amp;""",""dataType"":"""&amp;B3&amp;"""},"</f>
        <v>{"field":"id","name":"编号","dataType":"bigint"},</v>
      </c>
      <c r="K3" s="1" t="str">
        <f t="shared" ref="K3:K10" si="2">"{""field"":"""&amp;A3&amp;""",""labelRegexp"":"""&amp;G3&amp;""",""excelRangeType"":""table""},"</f>
        <v>{"field":"id","labelRegexp":"编号","excelRangeType":"table"},</v>
      </c>
      <c r="L3" s="1" t="str">
        <f>"{""field"":"""&amp;A3&amp;""",""width"":150},"</f>
        <v>{"field":"id","width":150},</v>
      </c>
    </row>
    <row r="4" spans="1:14" ht="16.5">
      <c r="A4" s="3" t="s">
        <v>171</v>
      </c>
      <c r="B4" s="3" t="s">
        <v>119</v>
      </c>
      <c r="C4" s="3">
        <v>18</v>
      </c>
      <c r="D4" s="3" t="s">
        <v>23</v>
      </c>
      <c r="E4" s="3" t="s">
        <v>52</v>
      </c>
      <c r="F4" s="3"/>
      <c r="G4" s="3" t="s">
        <v>70</v>
      </c>
      <c r="H4" s="33" t="s">
        <v>174</v>
      </c>
      <c r="I4" s="22"/>
      <c r="J4" s="1" t="str">
        <f t="shared" si="1"/>
        <v>{"field":"ls_application_id","name":"编号","dataType":"bigint"},</v>
      </c>
      <c r="K4" s="1" t="str">
        <f t="shared" si="2"/>
        <v>{"field":"ls_application_id","labelRegexp":"编号","excelRangeType":"table"},</v>
      </c>
      <c r="L4" s="1" t="str">
        <f t="shared" ref="L4:L10" si="3">"{""field"":"""&amp;A4&amp;""",""width"":150},"</f>
        <v>{"field":"ls_application_id","width":150},</v>
      </c>
    </row>
    <row r="5" spans="1:14" ht="16.5">
      <c r="A5" s="30" t="s">
        <v>172</v>
      </c>
      <c r="B5" s="3" t="s">
        <v>119</v>
      </c>
      <c r="C5" s="3">
        <v>18</v>
      </c>
      <c r="D5" s="3" t="s">
        <v>23</v>
      </c>
      <c r="E5" s="3" t="s">
        <v>52</v>
      </c>
      <c r="F5" s="3"/>
      <c r="G5" s="3" t="s">
        <v>70</v>
      </c>
      <c r="H5" s="33" t="s">
        <v>173</v>
      </c>
      <c r="I5" s="22"/>
    </row>
    <row r="6" spans="1:14" ht="16.5">
      <c r="A6" s="3" t="s">
        <v>44</v>
      </c>
      <c r="B6" s="3" t="s">
        <v>50</v>
      </c>
      <c r="C6" s="3">
        <v>0</v>
      </c>
      <c r="D6" s="3" t="s">
        <v>24</v>
      </c>
      <c r="E6" s="3" t="s">
        <v>52</v>
      </c>
      <c r="F6" s="3"/>
      <c r="G6" s="11" t="s">
        <v>56</v>
      </c>
      <c r="H6" s="11" t="s">
        <v>56</v>
      </c>
      <c r="I6" s="22" t="str">
        <f t="shared" si="0"/>
        <v>create_time datetime(0) NOT NULL ,</v>
      </c>
      <c r="J6" s="1" t="str">
        <f t="shared" si="1"/>
        <v>{"field":"create_time","name":"记录创建时间","dataType":"datetime"},</v>
      </c>
      <c r="K6" s="1" t="str">
        <f t="shared" si="2"/>
        <v>{"field":"create_time","labelRegexp":"记录创建时间","excelRangeType":"table"},</v>
      </c>
      <c r="L6" s="1" t="str">
        <f t="shared" si="3"/>
        <v>{"field":"create_time","width":150},</v>
      </c>
    </row>
    <row r="7" spans="1:14" ht="16.5">
      <c r="A7" s="3" t="s">
        <v>42</v>
      </c>
      <c r="B7" s="21" t="s">
        <v>43</v>
      </c>
      <c r="C7" s="21">
        <v>25</v>
      </c>
      <c r="D7" s="3" t="s">
        <v>24</v>
      </c>
      <c r="E7" s="3" t="s">
        <v>52</v>
      </c>
      <c r="F7" s="3"/>
      <c r="G7" s="11" t="s">
        <v>57</v>
      </c>
      <c r="H7" s="11" t="s">
        <v>57</v>
      </c>
      <c r="I7" s="22" t="str">
        <f t="shared" si="0"/>
        <v>create_user varchar(25) NOT NULL ,</v>
      </c>
      <c r="J7" s="1" t="str">
        <f t="shared" si="1"/>
        <v>{"field":"create_user","name":"记录创建人","dataType":"varchar"},</v>
      </c>
      <c r="K7" s="1" t="str">
        <f t="shared" si="2"/>
        <v>{"field":"create_user","labelRegexp":"记录创建人","excelRangeType":"table"},</v>
      </c>
      <c r="L7" s="1" t="str">
        <f>"{""field"":"""&amp;A7&amp;""",""width"":150},"</f>
        <v>{"field":"create_user","width":150},</v>
      </c>
    </row>
    <row r="8" spans="1:14" ht="16.5">
      <c r="A8" s="3" t="s">
        <v>53</v>
      </c>
      <c r="B8" s="3" t="s">
        <v>50</v>
      </c>
      <c r="C8" s="3">
        <v>0</v>
      </c>
      <c r="D8" s="3" t="s">
        <v>24</v>
      </c>
      <c r="E8" s="3" t="s">
        <v>52</v>
      </c>
      <c r="F8" s="3"/>
      <c r="G8" s="11" t="s">
        <v>58</v>
      </c>
      <c r="H8" s="11" t="s">
        <v>58</v>
      </c>
      <c r="I8" s="22" t="str">
        <f t="shared" si="0"/>
        <v>update_time datetime(0) NOT NULL ,</v>
      </c>
      <c r="J8" s="1" t="str">
        <f t="shared" si="1"/>
        <v>{"field":"update_time","name":"记录更新时间","dataType":"datetime"},</v>
      </c>
      <c r="K8" s="1" t="str">
        <f t="shared" si="2"/>
        <v>{"field":"update_time","labelRegexp":"记录更新时间","excelRangeType":"table"},</v>
      </c>
      <c r="L8" s="1" t="str">
        <f t="shared" si="3"/>
        <v>{"field":"update_time","width":150},</v>
      </c>
    </row>
    <row r="9" spans="1:14" ht="16.5">
      <c r="A9" s="3" t="s">
        <v>54</v>
      </c>
      <c r="B9" s="21" t="s">
        <v>43</v>
      </c>
      <c r="C9" s="21">
        <v>25</v>
      </c>
      <c r="D9" s="3" t="s">
        <v>24</v>
      </c>
      <c r="E9" s="3" t="s">
        <v>52</v>
      </c>
      <c r="F9" s="3"/>
      <c r="G9" s="11" t="s">
        <v>59</v>
      </c>
      <c r="H9" s="11" t="s">
        <v>59</v>
      </c>
      <c r="I9" s="22" t="str">
        <f t="shared" si="0"/>
        <v>update_user varchar(25) NOT NULL ,</v>
      </c>
      <c r="J9" s="1" t="str">
        <f t="shared" si="1"/>
        <v>{"field":"update_user","name":"记录更新人","dataType":"varchar"},</v>
      </c>
      <c r="K9" s="1" t="str">
        <f t="shared" si="2"/>
        <v>{"field":"update_user","labelRegexp":"记录更新人","excelRangeType":"table"},</v>
      </c>
      <c r="L9" s="1" t="str">
        <f t="shared" si="3"/>
        <v>{"field":"update_user","width":150},</v>
      </c>
    </row>
    <row r="10" spans="1:14" ht="16.5">
      <c r="A10" s="3" t="s">
        <v>25</v>
      </c>
      <c r="B10" s="3" t="s">
        <v>41</v>
      </c>
      <c r="C10" s="3">
        <v>11</v>
      </c>
      <c r="D10" s="3" t="s">
        <v>24</v>
      </c>
      <c r="E10" s="3" t="s">
        <v>52</v>
      </c>
      <c r="F10" s="3" t="s">
        <v>55</v>
      </c>
      <c r="G10" s="3" t="s">
        <v>60</v>
      </c>
      <c r="H10" s="3" t="s">
        <v>60</v>
      </c>
      <c r="I10" s="22" t="str">
        <f t="shared" si="0"/>
        <v>version int(11) NOT NULL DEFAULT 0,</v>
      </c>
      <c r="J10" s="1" t="str">
        <f t="shared" si="1"/>
        <v>{"field":"version","name":"数据版本号","dataType":"int"},</v>
      </c>
      <c r="K10" s="1" t="str">
        <f t="shared" si="2"/>
        <v>{"field":"version","labelRegexp":"数据版本号","excelRangeType":"table"},</v>
      </c>
      <c r="L10" s="1" t="str">
        <f t="shared" si="3"/>
        <v>{"field":"version","width":150},</v>
      </c>
    </row>
    <row r="11" spans="1:14">
      <c r="I11" s="1" t="str">
        <f>"PRIMARY KEY (`id`) USING BTREE)"</f>
        <v>PRIMARY KEY (`id`) USING BTREE)</v>
      </c>
    </row>
  </sheetData>
  <mergeCells count="1">
    <mergeCell ref="D1:E1"/>
  </mergeCells>
  <phoneticPr fontId="12" type="noConversion"/>
  <hyperlinks>
    <hyperlink ref="N1" location="目录!A1" display="目录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3"/>
  <sheetViews>
    <sheetView workbookViewId="0">
      <selection activeCell="B21" sqref="B21"/>
    </sheetView>
  </sheetViews>
  <sheetFormatPr defaultColWidth="9" defaultRowHeight="14.25"/>
  <cols>
    <col min="1" max="1" width="26.25" style="1" bestFit="1" customWidth="1"/>
    <col min="2" max="2" width="25" style="1" customWidth="1"/>
    <col min="3" max="3" width="6.75" style="1" bestFit="1" customWidth="1"/>
    <col min="4" max="4" width="5.375" style="1" bestFit="1" customWidth="1"/>
    <col min="5" max="5" width="19.375" style="1" customWidth="1"/>
    <col min="6" max="6" width="13.875" style="1" bestFit="1" customWidth="1"/>
    <col min="7" max="7" width="25.75" style="1" bestFit="1" customWidth="1"/>
    <col min="8" max="8" width="34.625" style="1" customWidth="1"/>
    <col min="9" max="11" width="59.375" style="1" customWidth="1"/>
    <col min="12" max="12" width="44.625" style="1" bestFit="1" customWidth="1"/>
    <col min="13" max="13" width="44.625" style="1" customWidth="1"/>
    <col min="14" max="14" width="18.375" style="1" customWidth="1"/>
    <col min="15" max="16384" width="9" style="1"/>
  </cols>
  <sheetData>
    <row r="1" spans="1:14" ht="16.5">
      <c r="A1" s="2" t="s">
        <v>13</v>
      </c>
      <c r="B1" s="3" t="s">
        <v>194</v>
      </c>
      <c r="C1" s="2" t="s">
        <v>14</v>
      </c>
      <c r="D1" s="61" t="s">
        <v>150</v>
      </c>
      <c r="E1" s="61"/>
      <c r="F1" s="2" t="s">
        <v>10</v>
      </c>
      <c r="G1" s="2"/>
      <c r="H1" s="3">
        <v>1</v>
      </c>
      <c r="I1" s="1" t="str">
        <f>"create table "&amp;B1&amp;" ("</f>
        <v>create table sl_key_authorization (</v>
      </c>
      <c r="N1" s="7" t="s">
        <v>8</v>
      </c>
    </row>
    <row r="2" spans="1:14">
      <c r="A2" s="4" t="s">
        <v>15</v>
      </c>
      <c r="B2" s="4" t="s">
        <v>16</v>
      </c>
      <c r="C2" s="4" t="s">
        <v>17</v>
      </c>
      <c r="D2" s="4" t="s">
        <v>19</v>
      </c>
      <c r="E2" s="4" t="s">
        <v>20</v>
      </c>
      <c r="F2" s="4" t="s">
        <v>21</v>
      </c>
      <c r="G2" s="4" t="s">
        <v>61</v>
      </c>
      <c r="H2" s="4" t="s">
        <v>9</v>
      </c>
      <c r="I2" s="24"/>
      <c r="J2" s="24"/>
      <c r="K2" s="24"/>
    </row>
    <row r="3" spans="1:14" ht="16.5">
      <c r="A3" s="3" t="s">
        <v>22</v>
      </c>
      <c r="B3" s="3" t="s">
        <v>119</v>
      </c>
      <c r="C3" s="3">
        <v>18</v>
      </c>
      <c r="D3" s="3" t="s">
        <v>23</v>
      </c>
      <c r="E3" s="3" t="s">
        <v>52</v>
      </c>
      <c r="F3" s="3"/>
      <c r="G3" s="3" t="s">
        <v>70</v>
      </c>
      <c r="H3" s="3" t="s">
        <v>120</v>
      </c>
      <c r="I3" s="22" t="str">
        <f t="shared" ref="I3:I12" si="0">A3&amp;" "&amp;B3&amp;"("&amp;C3&amp;") "&amp;E3&amp;" "&amp;F3&amp;","</f>
        <v>id bigint(18) NOT NULL ,</v>
      </c>
      <c r="J3" s="1" t="str">
        <f t="shared" ref="J3:J12" si="1">"{""field"":"""&amp;A3&amp;""",""name"":"""&amp;G3&amp;""",""dataType"":"""&amp;B3&amp;"""},"</f>
        <v>{"field":"id","name":"编号","dataType":"bigint"},</v>
      </c>
      <c r="K3" s="1" t="str">
        <f t="shared" ref="K3:K12" si="2">"{""field"":"""&amp;A3&amp;""",""labelRegexp"":"""&amp;G3&amp;""",""excelRangeType"":""table""},"</f>
        <v>{"field":"id","labelRegexp":"编号","excelRangeType":"table"},</v>
      </c>
      <c r="L3" s="1" t="str">
        <f>"{""field"":"""&amp;A3&amp;""",""width"":150},"</f>
        <v>{"field":"id","width":150},</v>
      </c>
    </row>
    <row r="4" spans="1:14" ht="16.5">
      <c r="A4" s="3" t="s">
        <v>195</v>
      </c>
      <c r="B4" s="3" t="s">
        <v>43</v>
      </c>
      <c r="C4" s="3">
        <v>20</v>
      </c>
      <c r="D4" s="3" t="s">
        <v>24</v>
      </c>
      <c r="E4" s="3" t="s">
        <v>52</v>
      </c>
      <c r="F4" s="3"/>
      <c r="G4" s="29" t="s">
        <v>117</v>
      </c>
      <c r="H4" s="5" t="s">
        <v>147</v>
      </c>
      <c r="I4" s="22" t="str">
        <f t="shared" si="0"/>
        <v>key_controller_id varchar(20) NOT NULL ,</v>
      </c>
      <c r="J4" s="1" t="str">
        <f t="shared" si="1"/>
        <v>{"field":"key_controller_id","name":"智能钥匙管理机","dataType":"varchar"},</v>
      </c>
      <c r="K4" s="1" t="str">
        <f t="shared" si="2"/>
        <v>{"field":"key_controller_id","labelRegexp":"智能钥匙管理机","excelRangeType":"table"},</v>
      </c>
      <c r="L4" s="1" t="str">
        <f t="shared" ref="L4:L12" si="3">"{""field"":"""&amp;A4&amp;""",""width"":150},"</f>
        <v>{"field":"key_controller_id","width":150},</v>
      </c>
    </row>
    <row r="5" spans="1:14" ht="16.5">
      <c r="A5" s="3" t="s">
        <v>196</v>
      </c>
      <c r="B5" s="3" t="s">
        <v>43</v>
      </c>
      <c r="C5" s="3">
        <v>20</v>
      </c>
      <c r="D5" s="3" t="s">
        <v>24</v>
      </c>
      <c r="E5" s="3" t="s">
        <v>52</v>
      </c>
      <c r="F5" s="3"/>
      <c r="G5" s="29" t="s">
        <v>110</v>
      </c>
      <c r="H5" s="5" t="s">
        <v>148</v>
      </c>
      <c r="I5" s="22" t="str">
        <f t="shared" si="0"/>
        <v>key_id varchar(20) NOT NULL ,</v>
      </c>
      <c r="J5" s="1" t="str">
        <f t="shared" si="1"/>
        <v>{"field":"key_id","name":"智能钥匙","dataType":"varchar"},</v>
      </c>
      <c r="L5" s="1" t="str">
        <f t="shared" si="3"/>
        <v>{"field":"key_id","width":150},</v>
      </c>
    </row>
    <row r="6" spans="1:14" ht="16.5">
      <c r="A6" s="3" t="s">
        <v>62</v>
      </c>
      <c r="B6" s="3" t="s">
        <v>43</v>
      </c>
      <c r="C6" s="3">
        <v>255</v>
      </c>
      <c r="D6" s="3" t="s">
        <v>24</v>
      </c>
      <c r="E6" s="3" t="s">
        <v>51</v>
      </c>
      <c r="F6" s="3"/>
      <c r="G6" s="29" t="s">
        <v>68</v>
      </c>
      <c r="H6" s="25"/>
      <c r="I6" s="22" t="str">
        <f t="shared" si="0"/>
        <v>remark varchar(255) NULL ,</v>
      </c>
      <c r="J6" s="1" t="str">
        <f t="shared" si="1"/>
        <v>{"field":"remark","name":"备注","dataType":"varchar"},</v>
      </c>
      <c r="L6" s="1" t="str">
        <f t="shared" si="3"/>
        <v>{"field":"remark","width":150},</v>
      </c>
    </row>
    <row r="7" spans="1:14" ht="16.5">
      <c r="A7" s="30" t="s">
        <v>197</v>
      </c>
      <c r="B7" s="30"/>
      <c r="C7" s="30"/>
      <c r="D7" s="30"/>
      <c r="E7" s="30"/>
      <c r="F7" s="30"/>
      <c r="G7" s="31"/>
      <c r="H7" s="33" t="s">
        <v>153</v>
      </c>
      <c r="I7" s="22"/>
      <c r="J7" s="1" t="str">
        <f t="shared" si="1"/>
        <v>{"field":"applications","name":"","dataType":""},</v>
      </c>
      <c r="L7" s="1" t="str">
        <f t="shared" si="3"/>
        <v>{"field":"applications","width":150},</v>
      </c>
    </row>
    <row r="8" spans="1:14" ht="16.5">
      <c r="A8" s="3" t="s">
        <v>44</v>
      </c>
      <c r="B8" s="3" t="s">
        <v>50</v>
      </c>
      <c r="C8" s="3">
        <v>0</v>
      </c>
      <c r="D8" s="3" t="s">
        <v>24</v>
      </c>
      <c r="E8" s="3" t="s">
        <v>52</v>
      </c>
      <c r="F8" s="3"/>
      <c r="G8" s="11" t="s">
        <v>56</v>
      </c>
      <c r="H8" s="11" t="s">
        <v>56</v>
      </c>
      <c r="I8" s="22" t="str">
        <f t="shared" si="0"/>
        <v>create_time datetime(0) NOT NULL ,</v>
      </c>
      <c r="J8" s="1" t="str">
        <f t="shared" si="1"/>
        <v>{"field":"create_time","name":"记录创建时间","dataType":"datetime"},</v>
      </c>
      <c r="K8" s="1" t="str">
        <f t="shared" si="2"/>
        <v>{"field":"create_time","labelRegexp":"记录创建时间","excelRangeType":"table"},</v>
      </c>
      <c r="L8" s="1" t="str">
        <f t="shared" si="3"/>
        <v>{"field":"create_time","width":150},</v>
      </c>
    </row>
    <row r="9" spans="1:14" ht="16.5">
      <c r="A9" s="3" t="s">
        <v>42</v>
      </c>
      <c r="B9" s="21" t="s">
        <v>43</v>
      </c>
      <c r="C9" s="21">
        <v>25</v>
      </c>
      <c r="D9" s="3" t="s">
        <v>24</v>
      </c>
      <c r="E9" s="3" t="s">
        <v>52</v>
      </c>
      <c r="F9" s="3"/>
      <c r="G9" s="11" t="s">
        <v>57</v>
      </c>
      <c r="H9" s="11" t="s">
        <v>57</v>
      </c>
      <c r="I9" s="22" t="str">
        <f t="shared" si="0"/>
        <v>create_user varchar(25) NOT NULL ,</v>
      </c>
      <c r="J9" s="1" t="str">
        <f t="shared" si="1"/>
        <v>{"field":"create_user","name":"记录创建人","dataType":"varchar"},</v>
      </c>
      <c r="K9" s="1" t="str">
        <f t="shared" si="2"/>
        <v>{"field":"create_user","labelRegexp":"记录创建人","excelRangeType":"table"},</v>
      </c>
      <c r="L9" s="1" t="str">
        <f t="shared" si="3"/>
        <v>{"field":"create_user","width":150},</v>
      </c>
    </row>
    <row r="10" spans="1:14" ht="16.5">
      <c r="A10" s="3" t="s">
        <v>53</v>
      </c>
      <c r="B10" s="3" t="s">
        <v>50</v>
      </c>
      <c r="C10" s="3">
        <v>0</v>
      </c>
      <c r="D10" s="3" t="s">
        <v>24</v>
      </c>
      <c r="E10" s="3" t="s">
        <v>52</v>
      </c>
      <c r="F10" s="3"/>
      <c r="G10" s="11" t="s">
        <v>58</v>
      </c>
      <c r="H10" s="11" t="s">
        <v>58</v>
      </c>
      <c r="I10" s="22" t="str">
        <f t="shared" si="0"/>
        <v>update_time datetime(0) NOT NULL ,</v>
      </c>
      <c r="J10" s="1" t="str">
        <f t="shared" si="1"/>
        <v>{"field":"update_time","name":"记录更新时间","dataType":"datetime"},</v>
      </c>
      <c r="K10" s="1" t="str">
        <f t="shared" si="2"/>
        <v>{"field":"update_time","labelRegexp":"记录更新时间","excelRangeType":"table"},</v>
      </c>
      <c r="L10" s="1" t="str">
        <f t="shared" si="3"/>
        <v>{"field":"update_time","width":150},</v>
      </c>
    </row>
    <row r="11" spans="1:14" ht="16.5">
      <c r="A11" s="3" t="s">
        <v>54</v>
      </c>
      <c r="B11" s="21" t="s">
        <v>43</v>
      </c>
      <c r="C11" s="21">
        <v>25</v>
      </c>
      <c r="D11" s="3" t="s">
        <v>24</v>
      </c>
      <c r="E11" s="3" t="s">
        <v>52</v>
      </c>
      <c r="F11" s="3"/>
      <c r="G11" s="11" t="s">
        <v>59</v>
      </c>
      <c r="H11" s="11" t="s">
        <v>59</v>
      </c>
      <c r="I11" s="22" t="str">
        <f t="shared" si="0"/>
        <v>update_user varchar(25) NOT NULL ,</v>
      </c>
      <c r="J11" s="1" t="str">
        <f t="shared" si="1"/>
        <v>{"field":"update_user","name":"记录更新人","dataType":"varchar"},</v>
      </c>
      <c r="K11" s="1" t="str">
        <f t="shared" si="2"/>
        <v>{"field":"update_user","labelRegexp":"记录更新人","excelRangeType":"table"},</v>
      </c>
      <c r="L11" s="1" t="str">
        <f t="shared" si="3"/>
        <v>{"field":"update_user","width":150},</v>
      </c>
    </row>
    <row r="12" spans="1:14" ht="16.5">
      <c r="A12" s="3" t="s">
        <v>25</v>
      </c>
      <c r="B12" s="3" t="s">
        <v>41</v>
      </c>
      <c r="C12" s="3">
        <v>11</v>
      </c>
      <c r="D12" s="3" t="s">
        <v>24</v>
      </c>
      <c r="E12" s="3" t="s">
        <v>52</v>
      </c>
      <c r="F12" s="3" t="s">
        <v>55</v>
      </c>
      <c r="G12" s="3" t="s">
        <v>60</v>
      </c>
      <c r="H12" s="3" t="s">
        <v>60</v>
      </c>
      <c r="I12" s="22" t="str">
        <f t="shared" si="0"/>
        <v>version int(11) NOT NULL DEFAULT 0,</v>
      </c>
      <c r="J12" s="1" t="str">
        <f t="shared" si="1"/>
        <v>{"field":"version","name":"数据版本号","dataType":"int"},</v>
      </c>
      <c r="K12" s="1" t="str">
        <f t="shared" si="2"/>
        <v>{"field":"version","labelRegexp":"数据版本号","excelRangeType":"table"},</v>
      </c>
      <c r="L12" s="1" t="str">
        <f t="shared" si="3"/>
        <v>{"field":"version","width":150},</v>
      </c>
    </row>
    <row r="13" spans="1:14">
      <c r="I13" s="1" t="str">
        <f>"PRIMARY KEY (`id`) USING BTREE)"</f>
        <v>PRIMARY KEY (`id`) USING BTREE)</v>
      </c>
    </row>
  </sheetData>
  <mergeCells count="1">
    <mergeCell ref="D1:E1"/>
  </mergeCells>
  <phoneticPr fontId="14" type="noConversion"/>
  <hyperlinks>
    <hyperlink ref="N1" location="目录!A1" display="目录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1"/>
  <sheetViews>
    <sheetView topLeftCell="B1" workbookViewId="0">
      <selection activeCell="I1" sqref="I1:I11"/>
    </sheetView>
  </sheetViews>
  <sheetFormatPr defaultColWidth="9" defaultRowHeight="14.25"/>
  <cols>
    <col min="1" max="1" width="26.25" style="1" bestFit="1" customWidth="1"/>
    <col min="2" max="2" width="35.375" style="1" customWidth="1"/>
    <col min="3" max="3" width="6.75" style="1" bestFit="1" customWidth="1"/>
    <col min="4" max="4" width="5.375" style="1" bestFit="1" customWidth="1"/>
    <col min="5" max="5" width="28.25" style="1" customWidth="1"/>
    <col min="6" max="6" width="13.875" style="1" bestFit="1" customWidth="1"/>
    <col min="7" max="7" width="25.75" style="1" bestFit="1" customWidth="1"/>
    <col min="8" max="8" width="34.625" style="1" customWidth="1"/>
    <col min="9" max="9" width="43.75" style="1" customWidth="1"/>
    <col min="10" max="11" width="59.375" style="1" customWidth="1"/>
    <col min="12" max="12" width="44.625" style="1" bestFit="1" customWidth="1"/>
    <col min="13" max="13" width="44.625" style="1" customWidth="1"/>
    <col min="14" max="14" width="18.375" style="1" customWidth="1"/>
    <col min="15" max="16384" width="9" style="1"/>
  </cols>
  <sheetData>
    <row r="1" spans="1:14" ht="16.5">
      <c r="A1" s="2" t="s">
        <v>13</v>
      </c>
      <c r="B1" s="3" t="s">
        <v>183</v>
      </c>
      <c r="C1" s="2" t="s">
        <v>14</v>
      </c>
      <c r="D1" s="61" t="s">
        <v>184</v>
      </c>
      <c r="E1" s="61"/>
      <c r="F1" s="2" t="s">
        <v>10</v>
      </c>
      <c r="G1" s="2"/>
      <c r="H1" s="3">
        <v>1</v>
      </c>
      <c r="I1" s="1" t="str">
        <f>"create table "&amp;B1&amp;" ("</f>
        <v>create table sl_application_sl_person (</v>
      </c>
      <c r="N1" s="7" t="s">
        <v>8</v>
      </c>
    </row>
    <row r="2" spans="1:14">
      <c r="A2" s="4" t="s">
        <v>15</v>
      </c>
      <c r="B2" s="4" t="s">
        <v>16</v>
      </c>
      <c r="C2" s="4" t="s">
        <v>17</v>
      </c>
      <c r="D2" s="4" t="s">
        <v>19</v>
      </c>
      <c r="E2" s="4" t="s">
        <v>20</v>
      </c>
      <c r="F2" s="4" t="s">
        <v>21</v>
      </c>
      <c r="G2" s="4" t="s">
        <v>61</v>
      </c>
      <c r="H2" s="4" t="s">
        <v>9</v>
      </c>
      <c r="I2" s="24"/>
      <c r="J2" s="24"/>
      <c r="K2" s="24"/>
    </row>
    <row r="3" spans="1:14" ht="16.5">
      <c r="A3" s="3" t="s">
        <v>22</v>
      </c>
      <c r="B3" s="3" t="s">
        <v>119</v>
      </c>
      <c r="C3" s="3">
        <v>18</v>
      </c>
      <c r="D3" s="3" t="s">
        <v>23</v>
      </c>
      <c r="E3" s="3" t="s">
        <v>52</v>
      </c>
      <c r="F3" s="3"/>
      <c r="G3" s="3" t="s">
        <v>70</v>
      </c>
      <c r="H3" s="3" t="s">
        <v>120</v>
      </c>
      <c r="I3" s="22" t="str">
        <f t="shared" ref="I3:I10" si="0">A3&amp;" "&amp;B3&amp;"("&amp;C3&amp;") "&amp;E3&amp;" "&amp;F3&amp;","</f>
        <v>id bigint(18) NOT NULL ,</v>
      </c>
      <c r="J3" s="1" t="str">
        <f t="shared" ref="J3:J10" si="1">"{""field"":"""&amp;A3&amp;""",""name"":"""&amp;G3&amp;""",""dataType"":"""&amp;B3&amp;"""},"</f>
        <v>{"field":"id","name":"编号","dataType":"bigint"},</v>
      </c>
      <c r="K3" s="1" t="str">
        <f t="shared" ref="K3:K10" si="2">"{""field"":"""&amp;A3&amp;""",""labelRegexp"":"""&amp;G3&amp;""",""excelRangeType"":""table""},"</f>
        <v>{"field":"id","labelRegexp":"编号","excelRangeType":"table"},</v>
      </c>
      <c r="L3" s="1" t="str">
        <f>"{""field"":"""&amp;A3&amp;""",""width"":150},"</f>
        <v>{"field":"id","width":150},</v>
      </c>
    </row>
    <row r="4" spans="1:14" ht="16.5">
      <c r="A4" s="30" t="s">
        <v>181</v>
      </c>
      <c r="B4" s="3" t="s">
        <v>119</v>
      </c>
      <c r="C4" s="3">
        <v>18</v>
      </c>
      <c r="D4" s="3" t="s">
        <v>23</v>
      </c>
      <c r="E4" s="3" t="s">
        <v>52</v>
      </c>
      <c r="F4" s="3"/>
      <c r="G4" s="3" t="s">
        <v>70</v>
      </c>
      <c r="H4" s="33" t="s">
        <v>174</v>
      </c>
      <c r="I4" s="22" t="str">
        <f t="shared" si="0"/>
        <v>sl_application_id bigint(18) NOT NULL ,</v>
      </c>
      <c r="J4" s="1" t="str">
        <f t="shared" si="1"/>
        <v>{"field":"sl_application_id","name":"编号","dataType":"bigint"},</v>
      </c>
      <c r="K4" s="1" t="str">
        <f t="shared" si="2"/>
        <v>{"field":"sl_application_id","labelRegexp":"编号","excelRangeType":"table"},</v>
      </c>
      <c r="L4" s="1" t="str">
        <f t="shared" ref="L4:L10" si="3">"{""field"":"""&amp;A4&amp;""",""width"":150},"</f>
        <v>{"field":"sl_application_id","width":150},</v>
      </c>
    </row>
    <row r="5" spans="1:14" ht="16.5">
      <c r="A5" s="30" t="s">
        <v>168</v>
      </c>
      <c r="B5" s="3" t="s">
        <v>43</v>
      </c>
      <c r="C5" s="3">
        <v>20</v>
      </c>
      <c r="D5" s="3" t="s">
        <v>23</v>
      </c>
      <c r="E5" s="3" t="s">
        <v>52</v>
      </c>
      <c r="F5" s="3"/>
      <c r="G5" s="3" t="s">
        <v>79</v>
      </c>
      <c r="H5" s="33" t="s">
        <v>176</v>
      </c>
      <c r="I5" s="22" t="str">
        <f t="shared" si="0"/>
        <v>sl_person_id varchar(20) NOT NULL ,</v>
      </c>
    </row>
    <row r="6" spans="1:14" ht="16.5">
      <c r="A6" s="3" t="s">
        <v>44</v>
      </c>
      <c r="B6" s="3" t="s">
        <v>50</v>
      </c>
      <c r="C6" s="3">
        <v>0</v>
      </c>
      <c r="D6" s="3" t="s">
        <v>24</v>
      </c>
      <c r="E6" s="3" t="s">
        <v>52</v>
      </c>
      <c r="F6" s="3"/>
      <c r="G6" s="11" t="s">
        <v>56</v>
      </c>
      <c r="H6" s="11" t="s">
        <v>56</v>
      </c>
      <c r="I6" s="22" t="str">
        <f t="shared" si="0"/>
        <v>create_time datetime(0) NOT NULL ,</v>
      </c>
      <c r="J6" s="1" t="str">
        <f t="shared" si="1"/>
        <v>{"field":"create_time","name":"记录创建时间","dataType":"datetime"},</v>
      </c>
      <c r="K6" s="1" t="str">
        <f t="shared" si="2"/>
        <v>{"field":"create_time","labelRegexp":"记录创建时间","excelRangeType":"table"},</v>
      </c>
      <c r="L6" s="1" t="str">
        <f t="shared" si="3"/>
        <v>{"field":"create_time","width":150},</v>
      </c>
    </row>
    <row r="7" spans="1:14" ht="16.5">
      <c r="A7" s="3" t="s">
        <v>42</v>
      </c>
      <c r="B7" s="21" t="s">
        <v>43</v>
      </c>
      <c r="C7" s="21">
        <v>25</v>
      </c>
      <c r="D7" s="3" t="s">
        <v>24</v>
      </c>
      <c r="E7" s="3" t="s">
        <v>52</v>
      </c>
      <c r="F7" s="3"/>
      <c r="G7" s="11" t="s">
        <v>57</v>
      </c>
      <c r="H7" s="11" t="s">
        <v>57</v>
      </c>
      <c r="I7" s="22" t="str">
        <f t="shared" si="0"/>
        <v>create_user varchar(25) NOT NULL ,</v>
      </c>
      <c r="J7" s="1" t="str">
        <f t="shared" si="1"/>
        <v>{"field":"create_user","name":"记录创建人","dataType":"varchar"},</v>
      </c>
      <c r="K7" s="1" t="str">
        <f t="shared" si="2"/>
        <v>{"field":"create_user","labelRegexp":"记录创建人","excelRangeType":"table"},</v>
      </c>
      <c r="L7" s="1" t="str">
        <f>"{""field"":"""&amp;A7&amp;""",""width"":150},"</f>
        <v>{"field":"create_user","width":150},</v>
      </c>
    </row>
    <row r="8" spans="1:14" ht="16.5">
      <c r="A8" s="3" t="s">
        <v>53</v>
      </c>
      <c r="B8" s="3" t="s">
        <v>50</v>
      </c>
      <c r="C8" s="3">
        <v>0</v>
      </c>
      <c r="D8" s="3" t="s">
        <v>24</v>
      </c>
      <c r="E8" s="3" t="s">
        <v>52</v>
      </c>
      <c r="F8" s="3"/>
      <c r="G8" s="11" t="s">
        <v>58</v>
      </c>
      <c r="H8" s="11" t="s">
        <v>58</v>
      </c>
      <c r="I8" s="22" t="str">
        <f t="shared" si="0"/>
        <v>update_time datetime(0) NOT NULL ,</v>
      </c>
      <c r="J8" s="1" t="str">
        <f t="shared" si="1"/>
        <v>{"field":"update_time","name":"记录更新时间","dataType":"datetime"},</v>
      </c>
      <c r="K8" s="1" t="str">
        <f t="shared" si="2"/>
        <v>{"field":"update_time","labelRegexp":"记录更新时间","excelRangeType":"table"},</v>
      </c>
      <c r="L8" s="1" t="str">
        <f t="shared" si="3"/>
        <v>{"field":"update_time","width":150},</v>
      </c>
    </row>
    <row r="9" spans="1:14" ht="16.5">
      <c r="A9" s="3" t="s">
        <v>54</v>
      </c>
      <c r="B9" s="21" t="s">
        <v>43</v>
      </c>
      <c r="C9" s="21">
        <v>25</v>
      </c>
      <c r="D9" s="3" t="s">
        <v>24</v>
      </c>
      <c r="E9" s="3" t="s">
        <v>52</v>
      </c>
      <c r="F9" s="3"/>
      <c r="G9" s="11" t="s">
        <v>59</v>
      </c>
      <c r="H9" s="11" t="s">
        <v>59</v>
      </c>
      <c r="I9" s="22" t="str">
        <f t="shared" si="0"/>
        <v>update_user varchar(25) NOT NULL ,</v>
      </c>
      <c r="J9" s="1" t="str">
        <f t="shared" si="1"/>
        <v>{"field":"update_user","name":"记录更新人","dataType":"varchar"},</v>
      </c>
      <c r="K9" s="1" t="str">
        <f t="shared" si="2"/>
        <v>{"field":"update_user","labelRegexp":"记录更新人","excelRangeType":"table"},</v>
      </c>
      <c r="L9" s="1" t="str">
        <f t="shared" si="3"/>
        <v>{"field":"update_user","width":150},</v>
      </c>
    </row>
    <row r="10" spans="1:14" ht="16.5">
      <c r="A10" s="3" t="s">
        <v>25</v>
      </c>
      <c r="B10" s="3" t="s">
        <v>41</v>
      </c>
      <c r="C10" s="3">
        <v>11</v>
      </c>
      <c r="D10" s="3" t="s">
        <v>24</v>
      </c>
      <c r="E10" s="3" t="s">
        <v>52</v>
      </c>
      <c r="F10" s="3" t="s">
        <v>55</v>
      </c>
      <c r="G10" s="3" t="s">
        <v>60</v>
      </c>
      <c r="H10" s="3" t="s">
        <v>60</v>
      </c>
      <c r="I10" s="22" t="str">
        <f t="shared" si="0"/>
        <v>version int(11) NOT NULL DEFAULT 0,</v>
      </c>
      <c r="J10" s="1" t="str">
        <f t="shared" si="1"/>
        <v>{"field":"version","name":"数据版本号","dataType":"int"},</v>
      </c>
      <c r="K10" s="1" t="str">
        <f t="shared" si="2"/>
        <v>{"field":"version","labelRegexp":"数据版本号","excelRangeType":"table"},</v>
      </c>
      <c r="L10" s="1" t="str">
        <f t="shared" si="3"/>
        <v>{"field":"version","width":150},</v>
      </c>
    </row>
    <row r="11" spans="1:14">
      <c r="I11" s="1" t="str">
        <f>"PRIMARY KEY (`id`) USING BTREE)"</f>
        <v>PRIMARY KEY (`id`) USING BTREE)</v>
      </c>
    </row>
  </sheetData>
  <mergeCells count="1">
    <mergeCell ref="D1:E1"/>
  </mergeCells>
  <phoneticPr fontId="12" type="noConversion"/>
  <hyperlinks>
    <hyperlink ref="N1" location="目录!A1" display="目录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1"/>
  <sheetViews>
    <sheetView workbookViewId="0">
      <selection activeCell="A15" sqref="A15"/>
    </sheetView>
  </sheetViews>
  <sheetFormatPr defaultColWidth="9" defaultRowHeight="14.25"/>
  <cols>
    <col min="1" max="1" width="26.25" style="1" bestFit="1" customWidth="1"/>
    <col min="2" max="2" width="25" style="1" customWidth="1"/>
    <col min="3" max="3" width="6.75" style="1" bestFit="1" customWidth="1"/>
    <col min="4" max="4" width="5.375" style="1" bestFit="1" customWidth="1"/>
    <col min="5" max="5" width="32.375" style="1" customWidth="1"/>
    <col min="6" max="6" width="13.875" style="1" bestFit="1" customWidth="1"/>
    <col min="7" max="7" width="25.75" style="1" bestFit="1" customWidth="1"/>
    <col min="8" max="8" width="34.625" style="1" customWidth="1"/>
    <col min="9" max="11" width="59.375" style="1" customWidth="1"/>
    <col min="12" max="12" width="44.625" style="1" bestFit="1" customWidth="1"/>
    <col min="13" max="13" width="44.625" style="1" customWidth="1"/>
    <col min="14" max="14" width="18.375" style="1" customWidth="1"/>
    <col min="15" max="16384" width="9" style="1"/>
  </cols>
  <sheetData>
    <row r="1" spans="1:14" ht="16.5">
      <c r="A1" s="2" t="s">
        <v>13</v>
      </c>
      <c r="B1" s="3" t="s">
        <v>179</v>
      </c>
      <c r="C1" s="2" t="s">
        <v>14</v>
      </c>
      <c r="D1" s="61" t="s">
        <v>180</v>
      </c>
      <c r="E1" s="61"/>
      <c r="F1" s="2" t="s">
        <v>10</v>
      </c>
      <c r="G1" s="2"/>
      <c r="H1" s="3">
        <v>1</v>
      </c>
      <c r="I1" s="1" t="str">
        <f>"create table "&amp;B1&amp;" ("</f>
        <v>create table sl_application_sl_lock (</v>
      </c>
      <c r="N1" s="7" t="s">
        <v>8</v>
      </c>
    </row>
    <row r="2" spans="1:14">
      <c r="A2" s="4" t="s">
        <v>15</v>
      </c>
      <c r="B2" s="4" t="s">
        <v>16</v>
      </c>
      <c r="C2" s="4" t="s">
        <v>17</v>
      </c>
      <c r="D2" s="4" t="s">
        <v>19</v>
      </c>
      <c r="E2" s="4" t="s">
        <v>20</v>
      </c>
      <c r="F2" s="4" t="s">
        <v>21</v>
      </c>
      <c r="G2" s="4" t="s">
        <v>61</v>
      </c>
      <c r="H2" s="4" t="s">
        <v>9</v>
      </c>
      <c r="I2" s="24"/>
      <c r="J2" s="24"/>
      <c r="K2" s="24"/>
    </row>
    <row r="3" spans="1:14" ht="16.5">
      <c r="A3" s="3" t="s">
        <v>22</v>
      </c>
      <c r="B3" s="3" t="s">
        <v>119</v>
      </c>
      <c r="C3" s="3">
        <v>18</v>
      </c>
      <c r="D3" s="3" t="s">
        <v>23</v>
      </c>
      <c r="E3" s="3" t="s">
        <v>52</v>
      </c>
      <c r="F3" s="3"/>
      <c r="G3" s="3" t="s">
        <v>70</v>
      </c>
      <c r="H3" s="3" t="s">
        <v>120</v>
      </c>
      <c r="I3" s="22" t="str">
        <f t="shared" ref="I3:I10" si="0">A3&amp;" "&amp;B3&amp;"("&amp;C3&amp;") "&amp;E3&amp;" "&amp;F3&amp;","</f>
        <v>id bigint(18) NOT NULL ,</v>
      </c>
      <c r="J3" s="1" t="str">
        <f t="shared" ref="J3:J10" si="1">"{""field"":"""&amp;A3&amp;""",""name"":"""&amp;G3&amp;""",""dataType"":"""&amp;B3&amp;"""},"</f>
        <v>{"field":"id","name":"编号","dataType":"bigint"},</v>
      </c>
      <c r="K3" s="1" t="str">
        <f t="shared" ref="K3:K10" si="2">"{""field"":"""&amp;A3&amp;""",""labelRegexp"":"""&amp;G3&amp;""",""excelRangeType"":""table""},"</f>
        <v>{"field":"id","labelRegexp":"编号","excelRangeType":"table"},</v>
      </c>
      <c r="L3" s="1" t="str">
        <f>"{""field"":"""&amp;A3&amp;""",""width"":150},"</f>
        <v>{"field":"id","width":150},</v>
      </c>
    </row>
    <row r="4" spans="1:14" ht="16.5">
      <c r="A4" s="3" t="s">
        <v>190</v>
      </c>
      <c r="B4" s="3" t="s">
        <v>43</v>
      </c>
      <c r="C4" s="3">
        <v>20</v>
      </c>
      <c r="D4" s="3" t="s">
        <v>23</v>
      </c>
      <c r="E4" s="3" t="s">
        <v>52</v>
      </c>
      <c r="F4" s="3"/>
      <c r="G4" s="3" t="s">
        <v>70</v>
      </c>
      <c r="H4" s="3" t="s">
        <v>175</v>
      </c>
      <c r="I4" s="22" t="str">
        <f t="shared" si="0"/>
        <v>sl_lock_id varchar(20) NOT NULL ,</v>
      </c>
      <c r="J4" s="1" t="str">
        <f t="shared" si="1"/>
        <v>{"field":"sl_lock_id","name":"编号","dataType":"varchar"},</v>
      </c>
      <c r="K4" s="1" t="str">
        <f t="shared" si="2"/>
        <v>{"field":"sl_lock_id","labelRegexp":"编号","excelRangeType":"table"},</v>
      </c>
      <c r="L4" s="1" t="str">
        <f t="shared" ref="L4:L10" si="3">"{""field"":"""&amp;A4&amp;""",""width"":150},"</f>
        <v>{"field":"sl_lock_id","width":150},</v>
      </c>
    </row>
    <row r="5" spans="1:14" ht="16.5">
      <c r="A5" s="30" t="s">
        <v>181</v>
      </c>
      <c r="B5" s="3" t="s">
        <v>119</v>
      </c>
      <c r="C5" s="3">
        <v>18</v>
      </c>
      <c r="D5" s="3" t="s">
        <v>23</v>
      </c>
      <c r="E5" s="3" t="s">
        <v>52</v>
      </c>
      <c r="F5" s="3"/>
      <c r="G5" s="3" t="s">
        <v>70</v>
      </c>
      <c r="H5" s="33" t="s">
        <v>174</v>
      </c>
      <c r="I5" s="22" t="str">
        <f t="shared" si="0"/>
        <v>sl_application_id bigint(18) NOT NULL ,</v>
      </c>
    </row>
    <row r="6" spans="1:14" ht="16.5">
      <c r="A6" s="3" t="s">
        <v>44</v>
      </c>
      <c r="B6" s="3" t="s">
        <v>50</v>
      </c>
      <c r="C6" s="3">
        <v>0</v>
      </c>
      <c r="D6" s="3" t="s">
        <v>24</v>
      </c>
      <c r="E6" s="3" t="s">
        <v>52</v>
      </c>
      <c r="F6" s="3"/>
      <c r="G6" s="11" t="s">
        <v>56</v>
      </c>
      <c r="H6" s="11" t="s">
        <v>56</v>
      </c>
      <c r="I6" s="22" t="str">
        <f t="shared" si="0"/>
        <v>create_time datetime(0) NOT NULL ,</v>
      </c>
      <c r="J6" s="1" t="str">
        <f t="shared" si="1"/>
        <v>{"field":"create_time","name":"记录创建时间","dataType":"datetime"},</v>
      </c>
      <c r="K6" s="1" t="str">
        <f t="shared" si="2"/>
        <v>{"field":"create_time","labelRegexp":"记录创建时间","excelRangeType":"table"},</v>
      </c>
      <c r="L6" s="1" t="str">
        <f t="shared" si="3"/>
        <v>{"field":"create_time","width":150},</v>
      </c>
    </row>
    <row r="7" spans="1:14" ht="16.5">
      <c r="A7" s="3" t="s">
        <v>42</v>
      </c>
      <c r="B7" s="21" t="s">
        <v>43</v>
      </c>
      <c r="C7" s="21">
        <v>25</v>
      </c>
      <c r="D7" s="3" t="s">
        <v>24</v>
      </c>
      <c r="E7" s="3" t="s">
        <v>52</v>
      </c>
      <c r="F7" s="3"/>
      <c r="G7" s="11" t="s">
        <v>57</v>
      </c>
      <c r="H7" s="11" t="s">
        <v>57</v>
      </c>
      <c r="I7" s="22" t="str">
        <f t="shared" si="0"/>
        <v>create_user varchar(25) NOT NULL ,</v>
      </c>
      <c r="J7" s="1" t="str">
        <f t="shared" si="1"/>
        <v>{"field":"create_user","name":"记录创建人","dataType":"varchar"},</v>
      </c>
      <c r="K7" s="1" t="str">
        <f t="shared" si="2"/>
        <v>{"field":"create_user","labelRegexp":"记录创建人","excelRangeType":"table"},</v>
      </c>
      <c r="L7" s="1" t="str">
        <f>"{""field"":"""&amp;A7&amp;""",""width"":150},"</f>
        <v>{"field":"create_user","width":150},</v>
      </c>
    </row>
    <row r="8" spans="1:14" ht="16.5">
      <c r="A8" s="3" t="s">
        <v>53</v>
      </c>
      <c r="B8" s="3" t="s">
        <v>50</v>
      </c>
      <c r="C8" s="3">
        <v>0</v>
      </c>
      <c r="D8" s="3" t="s">
        <v>24</v>
      </c>
      <c r="E8" s="3" t="s">
        <v>52</v>
      </c>
      <c r="F8" s="3"/>
      <c r="G8" s="11" t="s">
        <v>58</v>
      </c>
      <c r="H8" s="11" t="s">
        <v>58</v>
      </c>
      <c r="I8" s="22" t="str">
        <f t="shared" si="0"/>
        <v>update_time datetime(0) NOT NULL ,</v>
      </c>
      <c r="J8" s="1" t="str">
        <f t="shared" si="1"/>
        <v>{"field":"update_time","name":"记录更新时间","dataType":"datetime"},</v>
      </c>
      <c r="K8" s="1" t="str">
        <f t="shared" si="2"/>
        <v>{"field":"update_time","labelRegexp":"记录更新时间","excelRangeType":"table"},</v>
      </c>
      <c r="L8" s="1" t="str">
        <f t="shared" si="3"/>
        <v>{"field":"update_time","width":150},</v>
      </c>
    </row>
    <row r="9" spans="1:14" ht="16.5">
      <c r="A9" s="3" t="s">
        <v>54</v>
      </c>
      <c r="B9" s="21" t="s">
        <v>43</v>
      </c>
      <c r="C9" s="21">
        <v>25</v>
      </c>
      <c r="D9" s="3" t="s">
        <v>24</v>
      </c>
      <c r="E9" s="3" t="s">
        <v>52</v>
      </c>
      <c r="F9" s="3"/>
      <c r="G9" s="11" t="s">
        <v>59</v>
      </c>
      <c r="H9" s="11" t="s">
        <v>59</v>
      </c>
      <c r="I9" s="22" t="str">
        <f t="shared" si="0"/>
        <v>update_user varchar(25) NOT NULL ,</v>
      </c>
      <c r="J9" s="1" t="str">
        <f t="shared" si="1"/>
        <v>{"field":"update_user","name":"记录更新人","dataType":"varchar"},</v>
      </c>
      <c r="K9" s="1" t="str">
        <f t="shared" si="2"/>
        <v>{"field":"update_user","labelRegexp":"记录更新人","excelRangeType":"table"},</v>
      </c>
      <c r="L9" s="1" t="str">
        <f t="shared" si="3"/>
        <v>{"field":"update_user","width":150},</v>
      </c>
    </row>
    <row r="10" spans="1:14" ht="16.5">
      <c r="A10" s="3" t="s">
        <v>25</v>
      </c>
      <c r="B10" s="3" t="s">
        <v>41</v>
      </c>
      <c r="C10" s="3">
        <v>11</v>
      </c>
      <c r="D10" s="3" t="s">
        <v>24</v>
      </c>
      <c r="E10" s="3" t="s">
        <v>52</v>
      </c>
      <c r="F10" s="3" t="s">
        <v>55</v>
      </c>
      <c r="G10" s="3" t="s">
        <v>60</v>
      </c>
      <c r="H10" s="3" t="s">
        <v>60</v>
      </c>
      <c r="I10" s="22" t="str">
        <f t="shared" si="0"/>
        <v>version int(11) NOT NULL DEFAULT 0,</v>
      </c>
      <c r="J10" s="1" t="str">
        <f t="shared" si="1"/>
        <v>{"field":"version","name":"数据版本号","dataType":"int"},</v>
      </c>
      <c r="K10" s="1" t="str">
        <f t="shared" si="2"/>
        <v>{"field":"version","labelRegexp":"数据版本号","excelRangeType":"table"},</v>
      </c>
      <c r="L10" s="1" t="str">
        <f t="shared" si="3"/>
        <v>{"field":"version","width":150},</v>
      </c>
    </row>
    <row r="11" spans="1:14">
      <c r="I11" s="1" t="str">
        <f>"PRIMARY KEY (`id`) USING BTREE)"</f>
        <v>PRIMARY KEY (`id`) USING BTREE)</v>
      </c>
    </row>
  </sheetData>
  <mergeCells count="1">
    <mergeCell ref="D1:E1"/>
  </mergeCells>
  <phoneticPr fontId="12" type="noConversion"/>
  <hyperlinks>
    <hyperlink ref="N1" location="目录!A1" display="目录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20"/>
  <sheetViews>
    <sheetView workbookViewId="0">
      <selection activeCell="F25" sqref="F25"/>
    </sheetView>
  </sheetViews>
  <sheetFormatPr defaultColWidth="9" defaultRowHeight="14.25"/>
  <cols>
    <col min="1" max="1" width="26.25" style="1" bestFit="1" customWidth="1"/>
    <col min="2" max="2" width="12.625" style="1" bestFit="1" customWidth="1"/>
    <col min="3" max="3" width="6.75" style="1" bestFit="1" customWidth="1"/>
    <col min="4" max="4" width="5.375" style="1" bestFit="1" customWidth="1"/>
    <col min="5" max="5" width="10.125" style="1" bestFit="1" customWidth="1"/>
    <col min="6" max="6" width="13.875" style="1" bestFit="1" customWidth="1"/>
    <col min="7" max="7" width="25.75" style="1" bestFit="1" customWidth="1"/>
    <col min="8" max="8" width="22" style="1" bestFit="1" customWidth="1"/>
    <col min="9" max="11" width="59.375" style="1" customWidth="1"/>
    <col min="12" max="12" width="44.625" style="1" bestFit="1" customWidth="1"/>
    <col min="13" max="13" width="44.625" style="1" customWidth="1"/>
    <col min="14" max="14" width="18.375" style="1" customWidth="1"/>
    <col min="15" max="16384" width="9" style="1"/>
  </cols>
  <sheetData>
    <row r="1" spans="1:14" ht="16.5">
      <c r="A1" s="2" t="s">
        <v>13</v>
      </c>
      <c r="B1" s="3" t="s">
        <v>189</v>
      </c>
      <c r="C1" s="2" t="s">
        <v>14</v>
      </c>
      <c r="D1" s="61" t="s">
        <v>128</v>
      </c>
      <c r="E1" s="61"/>
      <c r="F1" s="2" t="s">
        <v>10</v>
      </c>
      <c r="G1" s="2"/>
      <c r="H1" s="3">
        <v>1</v>
      </c>
      <c r="I1" s="1" t="str">
        <f>"create table "&amp;B1&amp;" ("</f>
        <v>create table sl_application (</v>
      </c>
      <c r="N1" s="7" t="s">
        <v>8</v>
      </c>
    </row>
    <row r="2" spans="1:14">
      <c r="A2" s="4" t="s">
        <v>15</v>
      </c>
      <c r="B2" s="4" t="s">
        <v>16</v>
      </c>
      <c r="C2" s="4" t="s">
        <v>17</v>
      </c>
      <c r="D2" s="4" t="s">
        <v>19</v>
      </c>
      <c r="E2" s="4" t="s">
        <v>20</v>
      </c>
      <c r="F2" s="4" t="s">
        <v>21</v>
      </c>
      <c r="G2" s="4" t="s">
        <v>61</v>
      </c>
      <c r="H2" s="4" t="s">
        <v>9</v>
      </c>
      <c r="I2" s="24"/>
      <c r="J2" s="24"/>
      <c r="K2" s="24"/>
    </row>
    <row r="3" spans="1:14" ht="16.5">
      <c r="A3" s="3" t="s">
        <v>22</v>
      </c>
      <c r="B3" s="3" t="s">
        <v>119</v>
      </c>
      <c r="C3" s="3">
        <v>18</v>
      </c>
      <c r="D3" s="3" t="s">
        <v>23</v>
      </c>
      <c r="E3" s="3" t="s">
        <v>52</v>
      </c>
      <c r="F3" s="3"/>
      <c r="G3" s="3" t="s">
        <v>70</v>
      </c>
      <c r="H3" s="3" t="s">
        <v>120</v>
      </c>
      <c r="I3" s="22" t="str">
        <f t="shared" ref="I3:I19" si="0">A3&amp;" "&amp;B3&amp;"("&amp;C3&amp;") "&amp;E3&amp;" "&amp;F3&amp;","</f>
        <v>id bigint(18) NOT NULL ,</v>
      </c>
      <c r="J3" s="1" t="str">
        <f t="shared" ref="J3:J19" si="1">"{""field"":"""&amp;A3&amp;""",""name"":"""&amp;G3&amp;""",""dataType"":"""&amp;B3&amp;"""},"</f>
        <v>{"field":"id","name":"编号","dataType":"bigint"},</v>
      </c>
      <c r="K3" s="1" t="str">
        <f t="shared" ref="K3:K19" si="2">"{""field"":"""&amp;A3&amp;""",""labelRegexp"":"""&amp;G3&amp;""",""excelRangeType"":""table""},"</f>
        <v>{"field":"id","labelRegexp":"编号","excelRangeType":"table"},</v>
      </c>
      <c r="L3" s="1" t="str">
        <f>"{""field"":"""&amp;A3&amp;""",""width"":150},"</f>
        <v>{"field":"id","width":150},</v>
      </c>
    </row>
    <row r="4" spans="1:14" ht="16.5">
      <c r="A4" s="30" t="s">
        <v>154</v>
      </c>
      <c r="B4" s="30" t="s">
        <v>43</v>
      </c>
      <c r="C4" s="30">
        <v>20</v>
      </c>
      <c r="D4" s="30" t="s">
        <v>24</v>
      </c>
      <c r="E4" s="30" t="s">
        <v>52</v>
      </c>
      <c r="F4" s="30"/>
      <c r="G4" s="31" t="s">
        <v>122</v>
      </c>
      <c r="H4" s="32" t="s">
        <v>152</v>
      </c>
      <c r="I4" s="22"/>
      <c r="J4" s="1" t="str">
        <f t="shared" si="1"/>
        <v>{"field":"locks","name":"智能锁ID","dataType":"varchar"},</v>
      </c>
      <c r="K4" s="1" t="str">
        <f t="shared" si="2"/>
        <v>{"field":"locks","labelRegexp":"智能锁ID","excelRangeType":"table"},</v>
      </c>
      <c r="L4" s="1" t="str">
        <f t="shared" ref="L4:L19" si="3">"{""field"":"""&amp;A4&amp;""",""width"":150},"</f>
        <v>{"field":"locks","width":150},</v>
      </c>
    </row>
    <row r="5" spans="1:14" ht="16.5">
      <c r="A5" s="30" t="s">
        <v>156</v>
      </c>
      <c r="B5" s="30" t="s">
        <v>43</v>
      </c>
      <c r="C5" s="30">
        <v>20</v>
      </c>
      <c r="D5" s="30" t="s">
        <v>24</v>
      </c>
      <c r="E5" s="30" t="s">
        <v>52</v>
      </c>
      <c r="F5" s="30"/>
      <c r="G5" s="31" t="s">
        <v>129</v>
      </c>
      <c r="H5" s="33" t="s">
        <v>157</v>
      </c>
      <c r="I5" s="22"/>
      <c r="J5" s="1" t="str">
        <f t="shared" si="1"/>
        <v>{"field":"operators","name":"操作人","dataType":"varchar"},</v>
      </c>
      <c r="L5" s="1" t="str">
        <f t="shared" si="3"/>
        <v>{"field":"operators","width":150},</v>
      </c>
    </row>
    <row r="6" spans="1:14" ht="16.5">
      <c r="A6" s="36" t="s">
        <v>213</v>
      </c>
      <c r="B6" s="36" t="s">
        <v>43</v>
      </c>
      <c r="C6" s="36">
        <v>20</v>
      </c>
      <c r="D6" s="36" t="s">
        <v>24</v>
      </c>
      <c r="E6" s="36" t="s">
        <v>52</v>
      </c>
      <c r="F6" s="36"/>
      <c r="G6" s="37" t="s">
        <v>214</v>
      </c>
      <c r="H6" s="38"/>
      <c r="I6" s="22"/>
    </row>
    <row r="7" spans="1:14" ht="16.5">
      <c r="A7" s="3" t="s">
        <v>131</v>
      </c>
      <c r="B7" s="3" t="s">
        <v>43</v>
      </c>
      <c r="C7" s="3">
        <v>20</v>
      </c>
      <c r="D7" s="3" t="s">
        <v>24</v>
      </c>
      <c r="E7" s="3" t="s">
        <v>52</v>
      </c>
      <c r="F7" s="3"/>
      <c r="G7" s="29" t="s">
        <v>132</v>
      </c>
      <c r="H7" s="25" t="s">
        <v>130</v>
      </c>
      <c r="I7" s="22" t="str">
        <f t="shared" si="0"/>
        <v>approver varchar(20) NOT NULL ,</v>
      </c>
      <c r="J7" s="1" t="str">
        <f t="shared" si="1"/>
        <v>{"field":"approver","name":"审批人","dataType":"varchar"},</v>
      </c>
      <c r="L7" s="1" t="str">
        <f t="shared" si="3"/>
        <v>{"field":"approver","width":150},</v>
      </c>
    </row>
    <row r="8" spans="1:14" ht="16.5">
      <c r="A8" s="3" t="s">
        <v>133</v>
      </c>
      <c r="B8" s="3" t="s">
        <v>50</v>
      </c>
      <c r="C8" s="3">
        <v>0</v>
      </c>
      <c r="D8" s="3" t="s">
        <v>24</v>
      </c>
      <c r="E8" s="3" t="s">
        <v>52</v>
      </c>
      <c r="F8" s="3"/>
      <c r="G8" s="29" t="s">
        <v>134</v>
      </c>
      <c r="H8" s="25"/>
      <c r="I8" s="22" t="str">
        <f t="shared" si="0"/>
        <v>start_date datetime(0) NOT NULL ,</v>
      </c>
      <c r="J8" s="1" t="str">
        <f t="shared" si="1"/>
        <v>{"field":"start_date","name":"开始日期","dataType":"datetime"},</v>
      </c>
      <c r="L8" s="1" t="str">
        <f t="shared" si="3"/>
        <v>{"field":"start_date","width":150},</v>
      </c>
    </row>
    <row r="9" spans="1:14" ht="16.5">
      <c r="A9" s="3" t="s">
        <v>135</v>
      </c>
      <c r="B9" s="3" t="s">
        <v>50</v>
      </c>
      <c r="C9" s="3">
        <v>0</v>
      </c>
      <c r="D9" s="3" t="s">
        <v>24</v>
      </c>
      <c r="E9" s="3" t="s">
        <v>52</v>
      </c>
      <c r="F9" s="3"/>
      <c r="G9" s="29" t="s">
        <v>136</v>
      </c>
      <c r="H9" s="25"/>
      <c r="I9" s="22" t="str">
        <f t="shared" si="0"/>
        <v>end_date datetime(0) NOT NULL ,</v>
      </c>
      <c r="J9" s="1" t="str">
        <f t="shared" si="1"/>
        <v>{"field":"end_date","name":"截止日期","dataType":"datetime"},</v>
      </c>
      <c r="L9" s="1" t="str">
        <f t="shared" si="3"/>
        <v>{"field":"end_date","width":150},</v>
      </c>
    </row>
    <row r="10" spans="1:14" ht="16.5">
      <c r="A10" s="3" t="s">
        <v>137</v>
      </c>
      <c r="B10" s="3" t="s">
        <v>139</v>
      </c>
      <c r="C10" s="3">
        <v>0</v>
      </c>
      <c r="D10" s="3" t="s">
        <v>24</v>
      </c>
      <c r="E10" s="3" t="s">
        <v>52</v>
      </c>
      <c r="F10" s="3"/>
      <c r="G10" s="29" t="s">
        <v>140</v>
      </c>
      <c r="H10" s="25"/>
      <c r="I10" s="22" t="str">
        <f t="shared" si="0"/>
        <v>start_time time(0) NOT NULL ,</v>
      </c>
      <c r="J10" s="1" t="str">
        <f t="shared" si="1"/>
        <v>{"field":"start_time","name":"开始时间","dataType":"time"},</v>
      </c>
      <c r="L10" s="1" t="str">
        <f t="shared" si="3"/>
        <v>{"field":"start_time","width":150},</v>
      </c>
    </row>
    <row r="11" spans="1:14" ht="16.5">
      <c r="A11" s="3" t="s">
        <v>138</v>
      </c>
      <c r="B11" s="3" t="s">
        <v>139</v>
      </c>
      <c r="C11" s="3">
        <v>0</v>
      </c>
      <c r="D11" s="3" t="s">
        <v>24</v>
      </c>
      <c r="E11" s="3" t="s">
        <v>52</v>
      </c>
      <c r="F11" s="3"/>
      <c r="G11" s="29" t="s">
        <v>141</v>
      </c>
      <c r="H11" s="25"/>
      <c r="I11" s="22" t="str">
        <f t="shared" si="0"/>
        <v>end_time time(0) NOT NULL ,</v>
      </c>
      <c r="J11" s="1" t="str">
        <f t="shared" si="1"/>
        <v>{"field":"end_time","name":"截止时间","dataType":"time"},</v>
      </c>
      <c r="L11" s="1" t="str">
        <f t="shared" si="3"/>
        <v>{"field":"end_time","width":150},</v>
      </c>
    </row>
    <row r="12" spans="1:14" ht="16.5">
      <c r="A12" s="3" t="s">
        <v>143</v>
      </c>
      <c r="B12" s="3" t="s">
        <v>43</v>
      </c>
      <c r="C12" s="3">
        <v>255</v>
      </c>
      <c r="D12" s="3" t="s">
        <v>24</v>
      </c>
      <c r="E12" s="3" t="s">
        <v>51</v>
      </c>
      <c r="F12" s="3"/>
      <c r="G12" s="29" t="s">
        <v>142</v>
      </c>
      <c r="H12" s="25"/>
      <c r="I12" s="22" t="str">
        <f t="shared" si="0"/>
        <v>description varchar(255) NULL ,</v>
      </c>
      <c r="J12" s="1" t="str">
        <f t="shared" si="1"/>
        <v>{"field":"description","name":"事由说明","dataType":"varchar"},</v>
      </c>
      <c r="L12" s="1" t="str">
        <f t="shared" si="3"/>
        <v>{"field":"description","width":150},</v>
      </c>
    </row>
    <row r="13" spans="1:14" ht="66">
      <c r="A13" s="3" t="s">
        <v>192</v>
      </c>
      <c r="B13" s="3" t="s">
        <v>43</v>
      </c>
      <c r="C13" s="3">
        <v>2</v>
      </c>
      <c r="D13" s="3" t="s">
        <v>24</v>
      </c>
      <c r="E13" s="3" t="s">
        <v>52</v>
      </c>
      <c r="F13" s="3" t="s">
        <v>145</v>
      </c>
      <c r="G13" s="29" t="s">
        <v>144</v>
      </c>
      <c r="H13" s="25" t="s">
        <v>191</v>
      </c>
      <c r="I13" s="22" t="str">
        <f t="shared" si="0"/>
        <v>status varchar(2) NOT NULL DEFAULT '0',</v>
      </c>
      <c r="J13" s="1" t="str">
        <f t="shared" si="1"/>
        <v>{"field":"status","name":"状态","dataType":"varchar"},</v>
      </c>
      <c r="L13" s="1" t="str">
        <f t="shared" si="3"/>
        <v>{"field":"status","width":150},</v>
      </c>
    </row>
    <row r="14" spans="1:14" ht="16.5">
      <c r="A14" s="3" t="s">
        <v>193</v>
      </c>
      <c r="B14" s="3" t="s">
        <v>43</v>
      </c>
      <c r="C14" s="3">
        <v>255</v>
      </c>
      <c r="D14" s="3" t="s">
        <v>24</v>
      </c>
      <c r="E14" s="3" t="s">
        <v>51</v>
      </c>
      <c r="F14" s="3"/>
      <c r="G14" s="29" t="s">
        <v>146</v>
      </c>
      <c r="H14" s="25"/>
      <c r="I14" s="22" t="str">
        <f t="shared" si="0"/>
        <v>approval_comments varchar(255) NULL ,</v>
      </c>
      <c r="J14" s="1" t="str">
        <f t="shared" si="1"/>
        <v>{"field":"approval_comments","name":"审批意见","dataType":"varchar"},</v>
      </c>
      <c r="L14" s="1" t="str">
        <f t="shared" si="3"/>
        <v>{"field":"approval_comments","width":150},</v>
      </c>
    </row>
    <row r="15" spans="1:14" ht="16.5">
      <c r="A15" s="3" t="s">
        <v>44</v>
      </c>
      <c r="B15" s="3" t="s">
        <v>50</v>
      </c>
      <c r="C15" s="3">
        <v>0</v>
      </c>
      <c r="D15" s="3" t="s">
        <v>24</v>
      </c>
      <c r="E15" s="3" t="s">
        <v>52</v>
      </c>
      <c r="F15" s="3"/>
      <c r="G15" s="11" t="s">
        <v>56</v>
      </c>
      <c r="H15" s="11" t="s">
        <v>56</v>
      </c>
      <c r="I15" s="22" t="str">
        <f t="shared" si="0"/>
        <v>create_time datetime(0) NOT NULL ,</v>
      </c>
      <c r="J15" s="1" t="str">
        <f t="shared" si="1"/>
        <v>{"field":"create_time","name":"记录创建时间","dataType":"datetime"},</v>
      </c>
      <c r="K15" s="1" t="str">
        <f t="shared" si="2"/>
        <v>{"field":"create_time","labelRegexp":"记录创建时间","excelRangeType":"table"},</v>
      </c>
      <c r="L15" s="1" t="str">
        <f t="shared" si="3"/>
        <v>{"field":"create_time","width":150},</v>
      </c>
    </row>
    <row r="16" spans="1:14" ht="16.5">
      <c r="A16" s="3" t="s">
        <v>42</v>
      </c>
      <c r="B16" s="21" t="s">
        <v>43</v>
      </c>
      <c r="C16" s="21">
        <v>25</v>
      </c>
      <c r="D16" s="3" t="s">
        <v>24</v>
      </c>
      <c r="E16" s="3" t="s">
        <v>52</v>
      </c>
      <c r="F16" s="3"/>
      <c r="G16" s="11" t="s">
        <v>57</v>
      </c>
      <c r="H16" s="11" t="s">
        <v>57</v>
      </c>
      <c r="I16" s="22" t="str">
        <f t="shared" si="0"/>
        <v>create_user varchar(25) NOT NULL ,</v>
      </c>
      <c r="J16" s="1" t="str">
        <f t="shared" si="1"/>
        <v>{"field":"create_user","name":"记录创建人","dataType":"varchar"},</v>
      </c>
      <c r="K16" s="1" t="str">
        <f t="shared" si="2"/>
        <v>{"field":"create_user","labelRegexp":"记录创建人","excelRangeType":"table"},</v>
      </c>
      <c r="L16" s="1" t="str">
        <f t="shared" si="3"/>
        <v>{"field":"create_user","width":150},</v>
      </c>
    </row>
    <row r="17" spans="1:12" ht="16.5">
      <c r="A17" s="3" t="s">
        <v>53</v>
      </c>
      <c r="B17" s="3" t="s">
        <v>50</v>
      </c>
      <c r="C17" s="3">
        <v>0</v>
      </c>
      <c r="D17" s="3" t="s">
        <v>24</v>
      </c>
      <c r="E17" s="3" t="s">
        <v>52</v>
      </c>
      <c r="F17" s="3"/>
      <c r="G17" s="11" t="s">
        <v>58</v>
      </c>
      <c r="H17" s="11" t="s">
        <v>58</v>
      </c>
      <c r="I17" s="22" t="str">
        <f t="shared" si="0"/>
        <v>update_time datetime(0) NOT NULL ,</v>
      </c>
      <c r="J17" s="1" t="str">
        <f t="shared" si="1"/>
        <v>{"field":"update_time","name":"记录更新时间","dataType":"datetime"},</v>
      </c>
      <c r="K17" s="1" t="str">
        <f t="shared" si="2"/>
        <v>{"field":"update_time","labelRegexp":"记录更新时间","excelRangeType":"table"},</v>
      </c>
      <c r="L17" s="1" t="str">
        <f t="shared" si="3"/>
        <v>{"field":"update_time","width":150},</v>
      </c>
    </row>
    <row r="18" spans="1:12" ht="16.5">
      <c r="A18" s="3" t="s">
        <v>54</v>
      </c>
      <c r="B18" s="21" t="s">
        <v>43</v>
      </c>
      <c r="C18" s="21">
        <v>25</v>
      </c>
      <c r="D18" s="3" t="s">
        <v>24</v>
      </c>
      <c r="E18" s="3" t="s">
        <v>52</v>
      </c>
      <c r="F18" s="3"/>
      <c r="G18" s="11" t="s">
        <v>59</v>
      </c>
      <c r="H18" s="11" t="s">
        <v>59</v>
      </c>
      <c r="I18" s="22" t="str">
        <f t="shared" si="0"/>
        <v>update_user varchar(25) NOT NULL ,</v>
      </c>
      <c r="J18" s="1" t="str">
        <f t="shared" si="1"/>
        <v>{"field":"update_user","name":"记录更新人","dataType":"varchar"},</v>
      </c>
      <c r="K18" s="1" t="str">
        <f t="shared" si="2"/>
        <v>{"field":"update_user","labelRegexp":"记录更新人","excelRangeType":"table"},</v>
      </c>
      <c r="L18" s="1" t="str">
        <f t="shared" si="3"/>
        <v>{"field":"update_user","width":150},</v>
      </c>
    </row>
    <row r="19" spans="1:12" ht="16.5">
      <c r="A19" s="3" t="s">
        <v>25</v>
      </c>
      <c r="B19" s="3" t="s">
        <v>41</v>
      </c>
      <c r="C19" s="3">
        <v>11</v>
      </c>
      <c r="D19" s="3" t="s">
        <v>24</v>
      </c>
      <c r="E19" s="3" t="s">
        <v>52</v>
      </c>
      <c r="F19" s="3" t="s">
        <v>55</v>
      </c>
      <c r="G19" s="3" t="s">
        <v>60</v>
      </c>
      <c r="H19" s="3" t="s">
        <v>60</v>
      </c>
      <c r="I19" s="22" t="str">
        <f t="shared" si="0"/>
        <v>version int(11) NOT NULL DEFAULT 0,</v>
      </c>
      <c r="J19" s="1" t="str">
        <f t="shared" si="1"/>
        <v>{"field":"version","name":"数据版本号","dataType":"int"},</v>
      </c>
      <c r="K19" s="1" t="str">
        <f t="shared" si="2"/>
        <v>{"field":"version","labelRegexp":"数据版本号","excelRangeType":"table"},</v>
      </c>
      <c r="L19" s="1" t="str">
        <f t="shared" si="3"/>
        <v>{"field":"version","width":150},</v>
      </c>
    </row>
    <row r="20" spans="1:12">
      <c r="I20" s="1" t="str">
        <f>"PRIMARY KEY (`id`) USING BTREE)"</f>
        <v>PRIMARY KEY (`id`) USING BTREE)</v>
      </c>
    </row>
  </sheetData>
  <mergeCells count="1">
    <mergeCell ref="D1:E1"/>
  </mergeCells>
  <phoneticPr fontId="14" type="noConversion"/>
  <hyperlinks>
    <hyperlink ref="N1" location="目录!A1" display="目录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11"/>
  <sheetViews>
    <sheetView workbookViewId="0">
      <selection activeCell="A20" sqref="A20"/>
    </sheetView>
  </sheetViews>
  <sheetFormatPr defaultColWidth="9" defaultRowHeight="14.25"/>
  <cols>
    <col min="1" max="1" width="26.25" style="1" bestFit="1" customWidth="1"/>
    <col min="2" max="2" width="18" style="1" customWidth="1"/>
    <col min="3" max="3" width="6.75" style="1" bestFit="1" customWidth="1"/>
    <col min="4" max="4" width="5.375" style="1" bestFit="1" customWidth="1"/>
    <col min="5" max="5" width="19" style="1" customWidth="1"/>
    <col min="6" max="6" width="13.875" style="1" bestFit="1" customWidth="1"/>
    <col min="7" max="7" width="25.75" style="1" bestFit="1" customWidth="1"/>
    <col min="8" max="8" width="22" style="1" bestFit="1" customWidth="1"/>
    <col min="9" max="11" width="59.375" style="1" customWidth="1"/>
    <col min="12" max="12" width="44.625" style="1" bestFit="1" customWidth="1"/>
    <col min="13" max="13" width="44.625" style="1" customWidth="1"/>
    <col min="14" max="14" width="18.375" style="1" customWidth="1"/>
    <col min="15" max="16384" width="9" style="1"/>
  </cols>
  <sheetData>
    <row r="1" spans="1:14" ht="16.5">
      <c r="A1" s="2" t="s">
        <v>13</v>
      </c>
      <c r="B1" s="3" t="s">
        <v>188</v>
      </c>
      <c r="C1" s="2" t="s">
        <v>14</v>
      </c>
      <c r="D1" s="61" t="s">
        <v>118</v>
      </c>
      <c r="E1" s="61"/>
      <c r="F1" s="2" t="s">
        <v>10</v>
      </c>
      <c r="G1" s="2"/>
      <c r="H1" s="3">
        <v>1</v>
      </c>
      <c r="I1" s="1" t="str">
        <f>"create table "&amp;B1&amp;" ("</f>
        <v>create table sl_lock_status_record (</v>
      </c>
      <c r="N1" s="7" t="s">
        <v>8</v>
      </c>
    </row>
    <row r="2" spans="1:14">
      <c r="A2" s="4" t="s">
        <v>15</v>
      </c>
      <c r="B2" s="4" t="s">
        <v>16</v>
      </c>
      <c r="C2" s="4" t="s">
        <v>17</v>
      </c>
      <c r="D2" s="4" t="s">
        <v>19</v>
      </c>
      <c r="E2" s="4" t="s">
        <v>20</v>
      </c>
      <c r="F2" s="4" t="s">
        <v>21</v>
      </c>
      <c r="G2" s="4" t="s">
        <v>61</v>
      </c>
      <c r="H2" s="4" t="s">
        <v>9</v>
      </c>
      <c r="I2" s="24"/>
      <c r="J2" s="24"/>
      <c r="K2" s="24"/>
    </row>
    <row r="3" spans="1:14" ht="16.5">
      <c r="A3" s="3" t="s">
        <v>22</v>
      </c>
      <c r="B3" s="3" t="s">
        <v>119</v>
      </c>
      <c r="C3" s="3">
        <v>18</v>
      </c>
      <c r="D3" s="3" t="s">
        <v>23</v>
      </c>
      <c r="E3" s="3" t="s">
        <v>52</v>
      </c>
      <c r="F3" s="3"/>
      <c r="G3" s="3" t="s">
        <v>70</v>
      </c>
      <c r="H3" s="3" t="s">
        <v>120</v>
      </c>
      <c r="I3" s="22" t="str">
        <f t="shared" ref="I3:I10" si="0">A3&amp;" "&amp;B3&amp;"("&amp;C3&amp;") "&amp;E3&amp;" "&amp;F3&amp;","</f>
        <v>id bigint(18) NOT NULL ,</v>
      </c>
      <c r="J3" s="1" t="str">
        <f t="shared" ref="J3:J10" si="1">"{""field"":"""&amp;A3&amp;""",""name"":"""&amp;G3&amp;""",""dataType"":"""&amp;B3&amp;"""},"</f>
        <v>{"field":"id","name":"编号","dataType":"bigint"},</v>
      </c>
      <c r="K3" s="1" t="str">
        <f t="shared" ref="K3:K10" si="2">"{""field"":"""&amp;A3&amp;""",""labelRegexp"":"""&amp;G3&amp;""",""excelRangeType"":""table""},"</f>
        <v>{"field":"id","labelRegexp":"编号","excelRangeType":"table"},</v>
      </c>
      <c r="L3" s="1" t="str">
        <f>"{""field"":"""&amp;A3&amp;""",""width"":150},"</f>
        <v>{"field":"id","width":150},</v>
      </c>
    </row>
    <row r="4" spans="1:14" ht="16.5">
      <c r="A4" s="3" t="s">
        <v>121</v>
      </c>
      <c r="B4" s="3" t="s">
        <v>43</v>
      </c>
      <c r="C4" s="3">
        <v>20</v>
      </c>
      <c r="D4" s="3" t="s">
        <v>24</v>
      </c>
      <c r="E4" s="3" t="s">
        <v>52</v>
      </c>
      <c r="F4" s="3"/>
      <c r="G4" s="29" t="s">
        <v>122</v>
      </c>
      <c r="H4" s="5" t="s">
        <v>123</v>
      </c>
      <c r="I4" s="22" t="str">
        <f t="shared" si="0"/>
        <v>lock_id varchar(20) NOT NULL ,</v>
      </c>
      <c r="J4" s="1" t="str">
        <f t="shared" si="1"/>
        <v>{"field":"lock_id","name":"智能锁ID","dataType":"varchar"},</v>
      </c>
      <c r="K4" s="1" t="str">
        <f t="shared" si="2"/>
        <v>{"field":"lock_id","labelRegexp":"智能锁ID","excelRangeType":"table"},</v>
      </c>
      <c r="L4" s="1" t="str">
        <f t="shared" ref="L4:L10" si="3">"{""field"":"""&amp;A4&amp;""",""width"":150},"</f>
        <v>{"field":"lock_id","width":150},</v>
      </c>
    </row>
    <row r="5" spans="1:14" ht="66">
      <c r="A5" s="3" t="s">
        <v>124</v>
      </c>
      <c r="B5" s="3" t="s">
        <v>43</v>
      </c>
      <c r="C5" s="3">
        <v>3</v>
      </c>
      <c r="D5" s="3" t="s">
        <v>24</v>
      </c>
      <c r="E5" s="3" t="s">
        <v>52</v>
      </c>
      <c r="F5" s="3"/>
      <c r="G5" s="29" t="s">
        <v>125</v>
      </c>
      <c r="H5" s="25" t="s">
        <v>215</v>
      </c>
      <c r="I5" s="22" t="str">
        <f t="shared" si="0"/>
        <v>status varchar(3) NOT NULL ,</v>
      </c>
      <c r="J5" s="1" t="str">
        <f t="shared" si="1"/>
        <v>{"field":"status","name":"状态/事件","dataType":"varchar"},</v>
      </c>
      <c r="L5" s="1" t="str">
        <f t="shared" si="3"/>
        <v>{"field":"status","width":150},</v>
      </c>
    </row>
    <row r="6" spans="1:14" ht="16.5">
      <c r="A6" s="3" t="s">
        <v>44</v>
      </c>
      <c r="B6" s="3" t="s">
        <v>50</v>
      </c>
      <c r="C6" s="3">
        <v>0</v>
      </c>
      <c r="D6" s="3" t="s">
        <v>24</v>
      </c>
      <c r="E6" s="3" t="s">
        <v>52</v>
      </c>
      <c r="F6" s="3"/>
      <c r="G6" s="11" t="s">
        <v>56</v>
      </c>
      <c r="H6" s="11" t="s">
        <v>56</v>
      </c>
      <c r="I6" s="22" t="str">
        <f t="shared" si="0"/>
        <v>create_time datetime(0) NOT NULL ,</v>
      </c>
      <c r="J6" s="1" t="str">
        <f t="shared" si="1"/>
        <v>{"field":"create_time","name":"记录创建时间","dataType":"datetime"},</v>
      </c>
      <c r="K6" s="1" t="str">
        <f t="shared" si="2"/>
        <v>{"field":"create_time","labelRegexp":"记录创建时间","excelRangeType":"table"},</v>
      </c>
      <c r="L6" s="1" t="str">
        <f t="shared" si="3"/>
        <v>{"field":"create_time","width":150},</v>
      </c>
    </row>
    <row r="7" spans="1:14" ht="16.5">
      <c r="A7" s="3" t="s">
        <v>42</v>
      </c>
      <c r="B7" s="21" t="s">
        <v>43</v>
      </c>
      <c r="C7" s="21">
        <v>25</v>
      </c>
      <c r="D7" s="3" t="s">
        <v>24</v>
      </c>
      <c r="E7" s="3" t="s">
        <v>52</v>
      </c>
      <c r="F7" s="3"/>
      <c r="G7" s="11" t="s">
        <v>57</v>
      </c>
      <c r="H7" s="11" t="s">
        <v>57</v>
      </c>
      <c r="I7" s="22" t="str">
        <f t="shared" si="0"/>
        <v>create_user varchar(25) NOT NULL ,</v>
      </c>
      <c r="J7" s="1" t="str">
        <f t="shared" si="1"/>
        <v>{"field":"create_user","name":"记录创建人","dataType":"varchar"},</v>
      </c>
      <c r="K7" s="1" t="str">
        <f t="shared" si="2"/>
        <v>{"field":"create_user","labelRegexp":"记录创建人","excelRangeType":"table"},</v>
      </c>
      <c r="L7" s="1" t="str">
        <f t="shared" si="3"/>
        <v>{"field":"create_user","width":150},</v>
      </c>
    </row>
    <row r="8" spans="1:14" ht="16.5">
      <c r="A8" s="3" t="s">
        <v>53</v>
      </c>
      <c r="B8" s="3" t="s">
        <v>50</v>
      </c>
      <c r="C8" s="3">
        <v>0</v>
      </c>
      <c r="D8" s="3" t="s">
        <v>24</v>
      </c>
      <c r="E8" s="3" t="s">
        <v>52</v>
      </c>
      <c r="F8" s="3"/>
      <c r="G8" s="11" t="s">
        <v>58</v>
      </c>
      <c r="H8" s="11" t="s">
        <v>58</v>
      </c>
      <c r="I8" s="22" t="str">
        <f t="shared" si="0"/>
        <v>update_time datetime(0) NOT NULL ,</v>
      </c>
      <c r="J8" s="1" t="str">
        <f t="shared" si="1"/>
        <v>{"field":"update_time","name":"记录更新时间","dataType":"datetime"},</v>
      </c>
      <c r="K8" s="1" t="str">
        <f t="shared" si="2"/>
        <v>{"field":"update_time","labelRegexp":"记录更新时间","excelRangeType":"table"},</v>
      </c>
      <c r="L8" s="1" t="str">
        <f t="shared" si="3"/>
        <v>{"field":"update_time","width":150},</v>
      </c>
    </row>
    <row r="9" spans="1:14" ht="16.5">
      <c r="A9" s="3" t="s">
        <v>54</v>
      </c>
      <c r="B9" s="21" t="s">
        <v>43</v>
      </c>
      <c r="C9" s="21">
        <v>25</v>
      </c>
      <c r="D9" s="3" t="s">
        <v>24</v>
      </c>
      <c r="E9" s="3" t="s">
        <v>52</v>
      </c>
      <c r="F9" s="3"/>
      <c r="G9" s="11" t="s">
        <v>59</v>
      </c>
      <c r="H9" s="11" t="s">
        <v>59</v>
      </c>
      <c r="I9" s="22" t="str">
        <f t="shared" si="0"/>
        <v>update_user varchar(25) NOT NULL ,</v>
      </c>
      <c r="J9" s="1" t="str">
        <f t="shared" si="1"/>
        <v>{"field":"update_user","name":"记录更新人","dataType":"varchar"},</v>
      </c>
      <c r="K9" s="1" t="str">
        <f t="shared" si="2"/>
        <v>{"field":"update_user","labelRegexp":"记录更新人","excelRangeType":"table"},</v>
      </c>
      <c r="L9" s="1" t="str">
        <f t="shared" si="3"/>
        <v>{"field":"update_user","width":150},</v>
      </c>
    </row>
    <row r="10" spans="1:14" ht="16.5">
      <c r="A10" s="3" t="s">
        <v>25</v>
      </c>
      <c r="B10" s="3" t="s">
        <v>41</v>
      </c>
      <c r="C10" s="3">
        <v>11</v>
      </c>
      <c r="D10" s="3" t="s">
        <v>24</v>
      </c>
      <c r="E10" s="3" t="s">
        <v>52</v>
      </c>
      <c r="F10" s="3" t="s">
        <v>55</v>
      </c>
      <c r="G10" s="3" t="s">
        <v>60</v>
      </c>
      <c r="H10" s="3" t="s">
        <v>60</v>
      </c>
      <c r="I10" s="22" t="str">
        <f t="shared" si="0"/>
        <v>version int(11) NOT NULL DEFAULT 0,</v>
      </c>
      <c r="J10" s="1" t="str">
        <f t="shared" si="1"/>
        <v>{"field":"version","name":"数据版本号","dataType":"int"},</v>
      </c>
      <c r="K10" s="1" t="str">
        <f t="shared" si="2"/>
        <v>{"field":"version","labelRegexp":"数据版本号","excelRangeType":"table"},</v>
      </c>
      <c r="L10" s="1" t="str">
        <f t="shared" si="3"/>
        <v>{"field":"version","width":150},</v>
      </c>
    </row>
    <row r="11" spans="1:14">
      <c r="I11" s="1" t="str">
        <f>"PRIMARY KEY (`id`) USING BTREE)"</f>
        <v>PRIMARY KEY (`id`) USING BTREE)</v>
      </c>
    </row>
  </sheetData>
  <mergeCells count="1">
    <mergeCell ref="D1:E1"/>
  </mergeCells>
  <phoneticPr fontId="14" type="noConversion"/>
  <hyperlinks>
    <hyperlink ref="N1" location="目录!A1" display="目录" xr:uid="{00000000-0004-0000-0B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16"/>
  <sheetViews>
    <sheetView topLeftCell="K1" workbookViewId="0">
      <selection activeCell="L8" sqref="L8:L9"/>
    </sheetView>
  </sheetViews>
  <sheetFormatPr defaultColWidth="9" defaultRowHeight="14.25"/>
  <cols>
    <col min="1" max="1" width="26.25" style="1" bestFit="1" customWidth="1"/>
    <col min="2" max="2" width="18" style="1" customWidth="1"/>
    <col min="3" max="3" width="6.75" style="1" bestFit="1" customWidth="1"/>
    <col min="4" max="4" width="5.375" style="1" bestFit="1" customWidth="1"/>
    <col min="5" max="5" width="9.625" style="1" bestFit="1" customWidth="1"/>
    <col min="6" max="6" width="13.875" style="1" bestFit="1" customWidth="1"/>
    <col min="7" max="7" width="25.75" style="1" bestFit="1" customWidth="1"/>
    <col min="8" max="8" width="22" style="1" bestFit="1" customWidth="1"/>
    <col min="9" max="11" width="59.375" style="1" customWidth="1"/>
    <col min="12" max="12" width="44.625" style="1" bestFit="1" customWidth="1"/>
    <col min="13" max="13" width="44.625" style="1" customWidth="1"/>
    <col min="14" max="14" width="18.375" style="1" customWidth="1"/>
    <col min="15" max="16384" width="9" style="1"/>
  </cols>
  <sheetData>
    <row r="1" spans="1:14" ht="16.5">
      <c r="A1" s="2" t="s">
        <v>13</v>
      </c>
      <c r="B1" s="3" t="s">
        <v>97</v>
      </c>
      <c r="C1" s="2" t="s">
        <v>14</v>
      </c>
      <c r="D1" s="61" t="s">
        <v>112</v>
      </c>
      <c r="E1" s="61"/>
      <c r="F1" s="2" t="s">
        <v>10</v>
      </c>
      <c r="G1" s="2"/>
      <c r="H1" s="3">
        <v>1</v>
      </c>
      <c r="I1" s="1" t="str">
        <f>"create table "&amp;B1&amp;" ("</f>
        <v>create table sl_lock (</v>
      </c>
      <c r="N1" s="7" t="s">
        <v>8</v>
      </c>
    </row>
    <row r="2" spans="1:14">
      <c r="A2" s="4" t="s">
        <v>15</v>
      </c>
      <c r="B2" s="4" t="s">
        <v>16</v>
      </c>
      <c r="C2" s="4" t="s">
        <v>17</v>
      </c>
      <c r="D2" s="4" t="s">
        <v>19</v>
      </c>
      <c r="E2" s="4" t="s">
        <v>20</v>
      </c>
      <c r="F2" s="4" t="s">
        <v>21</v>
      </c>
      <c r="G2" s="4" t="s">
        <v>61</v>
      </c>
      <c r="H2" s="4" t="s">
        <v>9</v>
      </c>
      <c r="I2" s="24"/>
      <c r="J2" s="24"/>
      <c r="K2" s="24"/>
    </row>
    <row r="3" spans="1:14" ht="16.5">
      <c r="A3" s="3" t="s">
        <v>22</v>
      </c>
      <c r="B3" s="3" t="s">
        <v>43</v>
      </c>
      <c r="C3" s="3">
        <v>20</v>
      </c>
      <c r="D3" s="3" t="s">
        <v>23</v>
      </c>
      <c r="E3" s="3" t="s">
        <v>52</v>
      </c>
      <c r="F3" s="3"/>
      <c r="G3" s="3" t="s">
        <v>70</v>
      </c>
      <c r="H3" s="3" t="s">
        <v>99</v>
      </c>
      <c r="I3" s="22" t="str">
        <f t="shared" ref="I3:I15" si="0">A3&amp;" "&amp;B3&amp;"("&amp;C3&amp;") "&amp;E3&amp;" "&amp;F3&amp;","</f>
        <v>id varchar(20) NOT NULL ,</v>
      </c>
      <c r="J3" s="1" t="str">
        <f t="shared" ref="J3:J15" si="1">"{""field"":"""&amp;A3&amp;""",""name"":"""&amp;G3&amp;""",""dataType"":"""&amp;B3&amp;"""},"</f>
        <v>{"field":"id","name":"编号","dataType":"varchar"},</v>
      </c>
      <c r="K3" s="1" t="str">
        <f t="shared" ref="K3:K15" si="2">"{""field"":"""&amp;A3&amp;""",""labelRegexp"":"""&amp;G3&amp;""",""excelRangeType"":""table""},"</f>
        <v>{"field":"id","labelRegexp":"编号","excelRangeType":"table"},</v>
      </c>
      <c r="L3" s="1" t="str">
        <f>"{""field"":"""&amp;A3&amp;""",""width"":150},"</f>
        <v>{"field":"id","width":150},</v>
      </c>
    </row>
    <row r="4" spans="1:14" ht="16.5">
      <c r="A4" s="3" t="s">
        <v>31</v>
      </c>
      <c r="B4" s="3" t="s">
        <v>43</v>
      </c>
      <c r="C4" s="3">
        <v>20</v>
      </c>
      <c r="D4" s="3" t="s">
        <v>24</v>
      </c>
      <c r="E4" s="3" t="s">
        <v>52</v>
      </c>
      <c r="F4" s="3"/>
      <c r="G4" s="29" t="s">
        <v>69</v>
      </c>
      <c r="H4" s="5"/>
      <c r="I4" s="22" t="str">
        <f t="shared" si="0"/>
        <v>name varchar(20) NOT NULL ,</v>
      </c>
      <c r="J4" s="1" t="str">
        <f t="shared" si="1"/>
        <v>{"field":"name","name":"名称","dataType":"varchar"},</v>
      </c>
      <c r="K4" s="1" t="str">
        <f t="shared" si="2"/>
        <v>{"field":"name","labelRegexp":"名称","excelRangeType":"table"},</v>
      </c>
      <c r="L4" s="1" t="str">
        <f t="shared" ref="L4:L15" si="3">"{""field"":"""&amp;A4&amp;""",""width"":150},"</f>
        <v>{"field":"name","width":150},</v>
      </c>
    </row>
    <row r="5" spans="1:14" ht="16.5">
      <c r="A5" s="3" t="s">
        <v>100</v>
      </c>
      <c r="B5" s="3" t="s">
        <v>43</v>
      </c>
      <c r="C5" s="3">
        <v>20</v>
      </c>
      <c r="D5" s="3" t="s">
        <v>24</v>
      </c>
      <c r="E5" s="3" t="s">
        <v>51</v>
      </c>
      <c r="F5" s="3"/>
      <c r="G5" s="29" t="s">
        <v>104</v>
      </c>
      <c r="H5" s="5" t="s">
        <v>102</v>
      </c>
      <c r="I5" s="22" t="str">
        <f t="shared" si="0"/>
        <v>room varchar(20) NULL ,</v>
      </c>
      <c r="J5" s="1" t="str">
        <f t="shared" si="1"/>
        <v>{"field":"room","name":"机房","dataType":"varchar"},</v>
      </c>
      <c r="L5" s="1" t="str">
        <f t="shared" si="3"/>
        <v>{"field":"room","width":150},</v>
      </c>
    </row>
    <row r="6" spans="1:14" ht="16.5">
      <c r="A6" s="3" t="s">
        <v>101</v>
      </c>
      <c r="B6" s="3" t="s">
        <v>43</v>
      </c>
      <c r="C6" s="3">
        <v>5</v>
      </c>
      <c r="D6" s="3" t="s">
        <v>24</v>
      </c>
      <c r="E6" s="3" t="s">
        <v>51</v>
      </c>
      <c r="F6" s="3"/>
      <c r="G6" s="29" t="s">
        <v>105</v>
      </c>
      <c r="H6" s="25" t="s">
        <v>103</v>
      </c>
      <c r="I6" s="22" t="str">
        <f t="shared" si="0"/>
        <v>area_type varchar(5) NULL ,</v>
      </c>
      <c r="J6" s="1" t="str">
        <f t="shared" si="1"/>
        <v>{"field":"area_type","name":"区域类型","dataType":"varchar"},</v>
      </c>
      <c r="K6" s="1" t="str">
        <f t="shared" si="2"/>
        <v>{"field":"area_type","labelRegexp":"区域类型","excelRangeType":"table"},</v>
      </c>
      <c r="L6" s="1" t="str">
        <f t="shared" si="3"/>
        <v>{"field":"area_type","width":150},</v>
      </c>
    </row>
    <row r="7" spans="1:14" ht="16.5">
      <c r="A7" s="3" t="s">
        <v>106</v>
      </c>
      <c r="B7" s="3" t="s">
        <v>43</v>
      </c>
      <c r="C7" s="3">
        <v>255</v>
      </c>
      <c r="D7" s="3" t="s">
        <v>24</v>
      </c>
      <c r="E7" s="3" t="s">
        <v>51</v>
      </c>
      <c r="F7" s="3"/>
      <c r="G7" s="29" t="s">
        <v>107</v>
      </c>
      <c r="H7" s="25" t="s">
        <v>108</v>
      </c>
      <c r="I7" s="22" t="str">
        <f t="shared" si="0"/>
        <v>rack varchar(255) NULL ,</v>
      </c>
      <c r="J7" s="1" t="str">
        <f t="shared" si="1"/>
        <v>{"field":"rack","name":"机柜","dataType":"varchar"},</v>
      </c>
      <c r="L7" s="1" t="str">
        <f t="shared" si="3"/>
        <v>{"field":"rack","width":150},</v>
      </c>
    </row>
    <row r="8" spans="1:14" ht="16.5">
      <c r="A8" s="3" t="s">
        <v>204</v>
      </c>
      <c r="B8" s="3" t="s">
        <v>43</v>
      </c>
      <c r="C8" s="3">
        <v>20</v>
      </c>
      <c r="D8" s="3" t="s">
        <v>206</v>
      </c>
      <c r="E8" s="3" t="s">
        <v>52</v>
      </c>
      <c r="F8" s="3"/>
      <c r="G8" s="35" t="s">
        <v>207</v>
      </c>
      <c r="H8" s="25"/>
      <c r="I8" s="22" t="str">
        <f t="shared" si="0"/>
        <v>master_hub varchar(20) NOT NULL ,</v>
      </c>
      <c r="J8" s="1" t="str">
        <f t="shared" si="1"/>
        <v>{"field":"master_hub","name":"主网关","dataType":"varchar"},</v>
      </c>
      <c r="L8" s="1" t="str">
        <f t="shared" si="3"/>
        <v>{"field":"master_hub","width":150},</v>
      </c>
    </row>
    <row r="9" spans="1:14" ht="16.5">
      <c r="A9" s="3" t="s">
        <v>205</v>
      </c>
      <c r="B9" s="3" t="s">
        <v>43</v>
      </c>
      <c r="C9" s="3">
        <v>20</v>
      </c>
      <c r="D9" s="3" t="s">
        <v>206</v>
      </c>
      <c r="E9" s="3" t="s">
        <v>52</v>
      </c>
      <c r="F9" s="3"/>
      <c r="G9" s="35" t="s">
        <v>208</v>
      </c>
      <c r="H9" s="25"/>
      <c r="I9" s="22" t="str">
        <f t="shared" si="0"/>
        <v>slaver_hub varchar(20) NOT NULL ,</v>
      </c>
      <c r="J9" s="1" t="str">
        <f t="shared" si="1"/>
        <v>{"field":"slaver_hub","name":"备份网关","dataType":"varchar"},</v>
      </c>
      <c r="L9" s="1" t="str">
        <f t="shared" si="3"/>
        <v>{"field":"slaver_hub","width":150},</v>
      </c>
    </row>
    <row r="10" spans="1:14" ht="16.5">
      <c r="A10" s="3" t="s">
        <v>62</v>
      </c>
      <c r="B10" s="3" t="s">
        <v>43</v>
      </c>
      <c r="C10" s="3">
        <v>255</v>
      </c>
      <c r="D10" s="3" t="s">
        <v>24</v>
      </c>
      <c r="E10" s="3" t="s">
        <v>51</v>
      </c>
      <c r="F10" s="3"/>
      <c r="G10" s="29" t="s">
        <v>68</v>
      </c>
      <c r="H10" s="25"/>
      <c r="I10" s="22" t="str">
        <f t="shared" si="0"/>
        <v>remark varchar(255) NULL ,</v>
      </c>
      <c r="J10" s="1" t="str">
        <f t="shared" si="1"/>
        <v>{"field":"remark","name":"备注","dataType":"varchar"},</v>
      </c>
      <c r="L10" s="1" t="str">
        <f t="shared" si="3"/>
        <v>{"field":"remark","width":150},</v>
      </c>
    </row>
    <row r="11" spans="1:14" ht="16.5">
      <c r="A11" s="3" t="s">
        <v>44</v>
      </c>
      <c r="B11" s="3" t="s">
        <v>50</v>
      </c>
      <c r="C11" s="3">
        <v>0</v>
      </c>
      <c r="D11" s="3" t="s">
        <v>24</v>
      </c>
      <c r="E11" s="3" t="s">
        <v>52</v>
      </c>
      <c r="F11" s="3"/>
      <c r="G11" s="11" t="s">
        <v>56</v>
      </c>
      <c r="H11" s="11" t="s">
        <v>56</v>
      </c>
      <c r="I11" s="22" t="str">
        <f t="shared" si="0"/>
        <v>create_time datetime(0) NOT NULL ,</v>
      </c>
      <c r="J11" s="1" t="str">
        <f t="shared" si="1"/>
        <v>{"field":"create_time","name":"记录创建时间","dataType":"datetime"},</v>
      </c>
      <c r="K11" s="1" t="str">
        <f t="shared" si="2"/>
        <v>{"field":"create_time","labelRegexp":"记录创建时间","excelRangeType":"table"},</v>
      </c>
      <c r="L11" s="1" t="str">
        <f t="shared" si="3"/>
        <v>{"field":"create_time","width":150},</v>
      </c>
    </row>
    <row r="12" spans="1:14" ht="16.5">
      <c r="A12" s="3" t="s">
        <v>42</v>
      </c>
      <c r="B12" s="21" t="s">
        <v>43</v>
      </c>
      <c r="C12" s="21">
        <v>25</v>
      </c>
      <c r="D12" s="3" t="s">
        <v>24</v>
      </c>
      <c r="E12" s="3" t="s">
        <v>52</v>
      </c>
      <c r="F12" s="3"/>
      <c r="G12" s="11" t="s">
        <v>57</v>
      </c>
      <c r="H12" s="11" t="s">
        <v>57</v>
      </c>
      <c r="I12" s="22" t="str">
        <f t="shared" si="0"/>
        <v>create_user varchar(25) NOT NULL ,</v>
      </c>
      <c r="J12" s="1" t="str">
        <f t="shared" si="1"/>
        <v>{"field":"create_user","name":"记录创建人","dataType":"varchar"},</v>
      </c>
      <c r="K12" s="1" t="str">
        <f t="shared" si="2"/>
        <v>{"field":"create_user","labelRegexp":"记录创建人","excelRangeType":"table"},</v>
      </c>
      <c r="L12" s="1" t="str">
        <f t="shared" si="3"/>
        <v>{"field":"create_user","width":150},</v>
      </c>
    </row>
    <row r="13" spans="1:14" ht="16.5">
      <c r="A13" s="3" t="s">
        <v>53</v>
      </c>
      <c r="B13" s="3" t="s">
        <v>50</v>
      </c>
      <c r="C13" s="3">
        <v>0</v>
      </c>
      <c r="D13" s="3" t="s">
        <v>24</v>
      </c>
      <c r="E13" s="3" t="s">
        <v>52</v>
      </c>
      <c r="F13" s="3"/>
      <c r="G13" s="11" t="s">
        <v>58</v>
      </c>
      <c r="H13" s="11" t="s">
        <v>58</v>
      </c>
      <c r="I13" s="22" t="str">
        <f t="shared" si="0"/>
        <v>update_time datetime(0) NOT NULL ,</v>
      </c>
      <c r="J13" s="1" t="str">
        <f t="shared" si="1"/>
        <v>{"field":"update_time","name":"记录更新时间","dataType":"datetime"},</v>
      </c>
      <c r="K13" s="1" t="str">
        <f t="shared" si="2"/>
        <v>{"field":"update_time","labelRegexp":"记录更新时间","excelRangeType":"table"},</v>
      </c>
      <c r="L13" s="1" t="str">
        <f t="shared" si="3"/>
        <v>{"field":"update_time","width":150},</v>
      </c>
    </row>
    <row r="14" spans="1:14" ht="16.5">
      <c r="A14" s="3" t="s">
        <v>54</v>
      </c>
      <c r="B14" s="21" t="s">
        <v>43</v>
      </c>
      <c r="C14" s="21">
        <v>25</v>
      </c>
      <c r="D14" s="3" t="s">
        <v>24</v>
      </c>
      <c r="E14" s="3" t="s">
        <v>52</v>
      </c>
      <c r="F14" s="3"/>
      <c r="G14" s="11" t="s">
        <v>59</v>
      </c>
      <c r="H14" s="11" t="s">
        <v>59</v>
      </c>
      <c r="I14" s="22" t="str">
        <f t="shared" si="0"/>
        <v>update_user varchar(25) NOT NULL ,</v>
      </c>
      <c r="J14" s="1" t="str">
        <f t="shared" si="1"/>
        <v>{"field":"update_user","name":"记录更新人","dataType":"varchar"},</v>
      </c>
      <c r="K14" s="1" t="str">
        <f t="shared" si="2"/>
        <v>{"field":"update_user","labelRegexp":"记录更新人","excelRangeType":"table"},</v>
      </c>
      <c r="L14" s="1" t="str">
        <f t="shared" si="3"/>
        <v>{"field":"update_user","width":150},</v>
      </c>
    </row>
    <row r="15" spans="1:14" ht="16.5">
      <c r="A15" s="3" t="s">
        <v>25</v>
      </c>
      <c r="B15" s="3" t="s">
        <v>41</v>
      </c>
      <c r="C15" s="3">
        <v>11</v>
      </c>
      <c r="D15" s="3" t="s">
        <v>24</v>
      </c>
      <c r="E15" s="3" t="s">
        <v>52</v>
      </c>
      <c r="F15" s="3" t="s">
        <v>55</v>
      </c>
      <c r="G15" s="3" t="s">
        <v>60</v>
      </c>
      <c r="H15" s="3" t="s">
        <v>60</v>
      </c>
      <c r="I15" s="22" t="str">
        <f t="shared" si="0"/>
        <v>version int(11) NOT NULL DEFAULT 0,</v>
      </c>
      <c r="J15" s="1" t="str">
        <f t="shared" si="1"/>
        <v>{"field":"version","name":"数据版本号","dataType":"int"},</v>
      </c>
      <c r="K15" s="1" t="str">
        <f t="shared" si="2"/>
        <v>{"field":"version","labelRegexp":"数据版本号","excelRangeType":"table"},</v>
      </c>
      <c r="L15" s="1" t="str">
        <f t="shared" si="3"/>
        <v>{"field":"version","width":150},</v>
      </c>
    </row>
    <row r="16" spans="1:14">
      <c r="I16" s="1" t="str">
        <f>"PRIMARY KEY (`id`) USING BTREE)"</f>
        <v>PRIMARY KEY (`id`) USING BTREE)</v>
      </c>
    </row>
  </sheetData>
  <mergeCells count="1">
    <mergeCell ref="D1:E1"/>
  </mergeCells>
  <phoneticPr fontId="14" type="noConversion"/>
  <hyperlinks>
    <hyperlink ref="N1" location="目录!A1" display="目录" xr:uid="{00000000-0004-0000-0C00-000000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AE0BB-533D-4FE3-953E-68204085646F}">
  <dimension ref="A1:N11"/>
  <sheetViews>
    <sheetView topLeftCell="F1" workbookViewId="0">
      <selection activeCell="J3" sqref="J3:J10"/>
    </sheetView>
  </sheetViews>
  <sheetFormatPr defaultColWidth="9" defaultRowHeight="14.25"/>
  <cols>
    <col min="1" max="1" width="18.375" style="1" customWidth="1"/>
    <col min="2" max="2" width="18.25" style="1" customWidth="1"/>
    <col min="3" max="3" width="6.75" style="1" bestFit="1" customWidth="1"/>
    <col min="4" max="4" width="5.375" style="1" bestFit="1" customWidth="1"/>
    <col min="5" max="5" width="20.75" style="1" customWidth="1"/>
    <col min="6" max="6" width="13.875" style="1" bestFit="1" customWidth="1"/>
    <col min="7" max="7" width="25.75" style="1" bestFit="1" customWidth="1"/>
    <col min="8" max="8" width="22" style="1" bestFit="1" customWidth="1"/>
    <col min="9" max="11" width="59.375" style="1" customWidth="1"/>
    <col min="12" max="12" width="44.625" style="1" bestFit="1" customWidth="1"/>
    <col min="13" max="13" width="44.625" style="1" customWidth="1"/>
    <col min="14" max="14" width="18.375" style="1" customWidth="1"/>
    <col min="15" max="16384" width="9" style="1"/>
  </cols>
  <sheetData>
    <row r="1" spans="1:14" ht="16.5">
      <c r="A1" s="2" t="s">
        <v>13</v>
      </c>
      <c r="B1" s="3" t="s">
        <v>199</v>
      </c>
      <c r="C1" s="2" t="s">
        <v>14</v>
      </c>
      <c r="D1" s="61" t="s">
        <v>200</v>
      </c>
      <c r="E1" s="61"/>
      <c r="F1" s="2" t="s">
        <v>10</v>
      </c>
      <c r="G1" s="2"/>
      <c r="H1" s="3">
        <v>1</v>
      </c>
      <c r="I1" s="1" t="str">
        <f>"create table "&amp;B1&amp;" ("</f>
        <v>create table sl_lock_hub (</v>
      </c>
      <c r="N1" s="7" t="s">
        <v>8</v>
      </c>
    </row>
    <row r="2" spans="1:14">
      <c r="A2" s="4" t="s">
        <v>15</v>
      </c>
      <c r="B2" s="4" t="s">
        <v>16</v>
      </c>
      <c r="C2" s="4" t="s">
        <v>17</v>
      </c>
      <c r="D2" s="4" t="s">
        <v>19</v>
      </c>
      <c r="E2" s="4" t="s">
        <v>20</v>
      </c>
      <c r="F2" s="4" t="s">
        <v>21</v>
      </c>
      <c r="G2" s="4" t="s">
        <v>61</v>
      </c>
      <c r="H2" s="4" t="s">
        <v>9</v>
      </c>
      <c r="I2" s="24"/>
      <c r="J2" s="24"/>
      <c r="K2" s="24"/>
    </row>
    <row r="3" spans="1:14" ht="16.5">
      <c r="A3" s="3" t="s">
        <v>22</v>
      </c>
      <c r="B3" s="3" t="s">
        <v>43</v>
      </c>
      <c r="C3" s="3">
        <v>20</v>
      </c>
      <c r="D3" s="3" t="s">
        <v>23</v>
      </c>
      <c r="E3" s="3" t="s">
        <v>52</v>
      </c>
      <c r="F3" s="3"/>
      <c r="G3" s="3" t="s">
        <v>70</v>
      </c>
      <c r="H3" s="3" t="s">
        <v>201</v>
      </c>
      <c r="I3" s="22" t="str">
        <f t="shared" ref="I3:I10" si="0">A3&amp;" "&amp;B3&amp;"("&amp;C3&amp;") "&amp;E3&amp;" "&amp;F3&amp;","</f>
        <v>id varchar(20) NOT NULL ,</v>
      </c>
      <c r="J3" s="1" t="str">
        <f t="shared" ref="J3:J10" si="1">"{""field"":"""&amp;A3&amp;""",""name"":"""&amp;G3&amp;""",""dataType"":"""&amp;B3&amp;"""},"</f>
        <v>{"field":"id","name":"编号","dataType":"varchar"},</v>
      </c>
      <c r="K3" s="1" t="str">
        <f t="shared" ref="K3:K10" si="2">"{""field"":"""&amp;A3&amp;""",""labelRegexp"":"""&amp;G3&amp;""",""excelRangeType"":""table""},"</f>
        <v>{"field":"id","labelRegexp":"编号","excelRangeType":"table"},</v>
      </c>
      <c r="L3" s="1" t="str">
        <f>"{""field"":"""&amp;A3&amp;""",""width"":150},"</f>
        <v>{"field":"id","width":150},</v>
      </c>
    </row>
    <row r="4" spans="1:14" ht="16.5">
      <c r="A4" s="3" t="s">
        <v>202</v>
      </c>
      <c r="B4" s="3" t="s">
        <v>43</v>
      </c>
      <c r="C4" s="3">
        <v>20</v>
      </c>
      <c r="D4" s="3" t="s">
        <v>24</v>
      </c>
      <c r="E4" s="3" t="s">
        <v>52</v>
      </c>
      <c r="F4" s="3"/>
      <c r="G4" s="5" t="s">
        <v>203</v>
      </c>
      <c r="H4" s="5" t="s">
        <v>203</v>
      </c>
      <c r="I4" s="22" t="str">
        <f t="shared" si="0"/>
        <v>ip varchar(20) NOT NULL ,</v>
      </c>
      <c r="J4" s="1" t="str">
        <f t="shared" si="1"/>
        <v>{"field":"ip","name":"网关IP","dataType":"varchar"},</v>
      </c>
      <c r="K4" s="1" t="str">
        <f t="shared" si="2"/>
        <v>{"field":"ip","labelRegexp":"网关IP","excelRangeType":"table"},</v>
      </c>
      <c r="L4" s="1" t="str">
        <f t="shared" ref="L4:L10" si="3">"{""field"":"""&amp;A4&amp;""",""width"":150},"</f>
        <v>{"field":"ip","width":150},</v>
      </c>
    </row>
    <row r="5" spans="1:14" ht="16.5">
      <c r="A5" s="3" t="s">
        <v>62</v>
      </c>
      <c r="B5" s="3" t="s">
        <v>43</v>
      </c>
      <c r="C5" s="3">
        <v>255</v>
      </c>
      <c r="D5" s="3" t="s">
        <v>24</v>
      </c>
      <c r="E5" s="3" t="s">
        <v>51</v>
      </c>
      <c r="F5" s="3"/>
      <c r="G5" s="29" t="s">
        <v>68</v>
      </c>
      <c r="H5" s="25"/>
      <c r="I5" s="22" t="str">
        <f t="shared" si="0"/>
        <v>remark varchar(255) NULL ,</v>
      </c>
      <c r="J5" s="1" t="str">
        <f t="shared" si="1"/>
        <v>{"field":"remark","name":"备注","dataType":"varchar"},</v>
      </c>
      <c r="L5" s="1" t="str">
        <f t="shared" si="3"/>
        <v>{"field":"remark","width":150},</v>
      </c>
    </row>
    <row r="6" spans="1:14" ht="16.5">
      <c r="A6" s="3" t="s">
        <v>44</v>
      </c>
      <c r="B6" s="3" t="s">
        <v>50</v>
      </c>
      <c r="C6" s="3">
        <v>0</v>
      </c>
      <c r="D6" s="3" t="s">
        <v>24</v>
      </c>
      <c r="E6" s="3" t="s">
        <v>52</v>
      </c>
      <c r="F6" s="3"/>
      <c r="G6" s="11" t="s">
        <v>56</v>
      </c>
      <c r="H6" s="11" t="s">
        <v>56</v>
      </c>
      <c r="I6" s="22" t="str">
        <f t="shared" si="0"/>
        <v>create_time datetime(0) NOT NULL ,</v>
      </c>
      <c r="J6" s="1" t="str">
        <f t="shared" si="1"/>
        <v>{"field":"create_time","name":"记录创建时间","dataType":"datetime"},</v>
      </c>
      <c r="K6" s="1" t="str">
        <f t="shared" si="2"/>
        <v>{"field":"create_time","labelRegexp":"记录创建时间","excelRangeType":"table"},</v>
      </c>
      <c r="L6" s="1" t="str">
        <f t="shared" si="3"/>
        <v>{"field":"create_time","width":150},</v>
      </c>
    </row>
    <row r="7" spans="1:14" ht="16.5">
      <c r="A7" s="3" t="s">
        <v>42</v>
      </c>
      <c r="B7" s="21" t="s">
        <v>43</v>
      </c>
      <c r="C7" s="21">
        <v>25</v>
      </c>
      <c r="D7" s="3" t="s">
        <v>24</v>
      </c>
      <c r="E7" s="3" t="s">
        <v>52</v>
      </c>
      <c r="F7" s="3"/>
      <c r="G7" s="11" t="s">
        <v>57</v>
      </c>
      <c r="H7" s="11" t="s">
        <v>57</v>
      </c>
      <c r="I7" s="22" t="str">
        <f t="shared" si="0"/>
        <v>create_user varchar(25) NOT NULL ,</v>
      </c>
      <c r="J7" s="1" t="str">
        <f t="shared" si="1"/>
        <v>{"field":"create_user","name":"记录创建人","dataType":"varchar"},</v>
      </c>
      <c r="K7" s="1" t="str">
        <f t="shared" si="2"/>
        <v>{"field":"create_user","labelRegexp":"记录创建人","excelRangeType":"table"},</v>
      </c>
      <c r="L7" s="1" t="str">
        <f t="shared" si="3"/>
        <v>{"field":"create_user","width":150},</v>
      </c>
    </row>
    <row r="8" spans="1:14" ht="16.5">
      <c r="A8" s="3" t="s">
        <v>53</v>
      </c>
      <c r="B8" s="3" t="s">
        <v>50</v>
      </c>
      <c r="C8" s="3">
        <v>0</v>
      </c>
      <c r="D8" s="3" t="s">
        <v>24</v>
      </c>
      <c r="E8" s="3" t="s">
        <v>52</v>
      </c>
      <c r="F8" s="3"/>
      <c r="G8" s="11" t="s">
        <v>58</v>
      </c>
      <c r="H8" s="11" t="s">
        <v>58</v>
      </c>
      <c r="I8" s="22" t="str">
        <f t="shared" si="0"/>
        <v>update_time datetime(0) NOT NULL ,</v>
      </c>
      <c r="J8" s="1" t="str">
        <f t="shared" si="1"/>
        <v>{"field":"update_time","name":"记录更新时间","dataType":"datetime"},</v>
      </c>
      <c r="K8" s="1" t="str">
        <f t="shared" si="2"/>
        <v>{"field":"update_time","labelRegexp":"记录更新时间","excelRangeType":"table"},</v>
      </c>
      <c r="L8" s="1" t="str">
        <f t="shared" si="3"/>
        <v>{"field":"update_time","width":150},</v>
      </c>
    </row>
    <row r="9" spans="1:14" ht="16.5">
      <c r="A9" s="3" t="s">
        <v>54</v>
      </c>
      <c r="B9" s="21" t="s">
        <v>43</v>
      </c>
      <c r="C9" s="21">
        <v>25</v>
      </c>
      <c r="D9" s="3" t="s">
        <v>24</v>
      </c>
      <c r="E9" s="3" t="s">
        <v>52</v>
      </c>
      <c r="F9" s="3"/>
      <c r="G9" s="11" t="s">
        <v>59</v>
      </c>
      <c r="H9" s="11" t="s">
        <v>59</v>
      </c>
      <c r="I9" s="22" t="str">
        <f t="shared" si="0"/>
        <v>update_user varchar(25) NOT NULL ,</v>
      </c>
      <c r="J9" s="1" t="str">
        <f t="shared" si="1"/>
        <v>{"field":"update_user","name":"记录更新人","dataType":"varchar"},</v>
      </c>
      <c r="K9" s="1" t="str">
        <f t="shared" si="2"/>
        <v>{"field":"update_user","labelRegexp":"记录更新人","excelRangeType":"table"},</v>
      </c>
      <c r="L9" s="1" t="str">
        <f t="shared" si="3"/>
        <v>{"field":"update_user","width":150},</v>
      </c>
    </row>
    <row r="10" spans="1:14" ht="16.5">
      <c r="A10" s="3" t="s">
        <v>25</v>
      </c>
      <c r="B10" s="3" t="s">
        <v>41</v>
      </c>
      <c r="C10" s="3">
        <v>11</v>
      </c>
      <c r="D10" s="3" t="s">
        <v>24</v>
      </c>
      <c r="E10" s="3" t="s">
        <v>52</v>
      </c>
      <c r="F10" s="3" t="s">
        <v>55</v>
      </c>
      <c r="G10" s="3" t="s">
        <v>60</v>
      </c>
      <c r="H10" s="3" t="s">
        <v>60</v>
      </c>
      <c r="I10" s="22" t="str">
        <f t="shared" si="0"/>
        <v>version int(11) NOT NULL DEFAULT 0,</v>
      </c>
      <c r="J10" s="1" t="str">
        <f t="shared" si="1"/>
        <v>{"field":"version","name":"数据版本号","dataType":"int"},</v>
      </c>
      <c r="K10" s="1" t="str">
        <f t="shared" si="2"/>
        <v>{"field":"version","labelRegexp":"数据版本号","excelRangeType":"table"},</v>
      </c>
      <c r="L10" s="1" t="str">
        <f t="shared" si="3"/>
        <v>{"field":"version","width":150},</v>
      </c>
    </row>
    <row r="11" spans="1:14">
      <c r="I11" s="1" t="str">
        <f>"PRIMARY KEY (`id`) USING BTREE)"</f>
        <v>PRIMARY KEY (`id`) USING BTREE)</v>
      </c>
    </row>
  </sheetData>
  <mergeCells count="1">
    <mergeCell ref="D1:E1"/>
  </mergeCells>
  <phoneticPr fontId="12" type="noConversion"/>
  <hyperlinks>
    <hyperlink ref="N1" location="目录!A1" display="目录" xr:uid="{F0925762-4732-44EE-82A3-18A09C43695D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11"/>
  <sheetViews>
    <sheetView workbookViewId="0">
      <selection activeCell="B3" sqref="B3:C3"/>
    </sheetView>
  </sheetViews>
  <sheetFormatPr defaultColWidth="9" defaultRowHeight="14.25"/>
  <cols>
    <col min="1" max="1" width="18.375" style="1" customWidth="1"/>
    <col min="2" max="2" width="18.25" style="1" customWidth="1"/>
    <col min="3" max="3" width="6.75" style="1" bestFit="1" customWidth="1"/>
    <col min="4" max="4" width="5.375" style="1" bestFit="1" customWidth="1"/>
    <col min="5" max="5" width="20.75" style="1" customWidth="1"/>
    <col min="6" max="6" width="13.875" style="1" bestFit="1" customWidth="1"/>
    <col min="7" max="7" width="25.75" style="1" bestFit="1" customWidth="1"/>
    <col min="8" max="8" width="22" style="1" bestFit="1" customWidth="1"/>
    <col min="9" max="11" width="59.375" style="1" customWidth="1"/>
    <col min="12" max="12" width="44.625" style="1" bestFit="1" customWidth="1"/>
    <col min="13" max="13" width="44.625" style="1" customWidth="1"/>
    <col min="14" max="14" width="18.375" style="1" customWidth="1"/>
    <col min="15" max="16384" width="9" style="1"/>
  </cols>
  <sheetData>
    <row r="1" spans="1:14" ht="16.5">
      <c r="A1" s="2" t="s">
        <v>13</v>
      </c>
      <c r="B1" s="3" t="s">
        <v>185</v>
      </c>
      <c r="C1" s="2" t="s">
        <v>14</v>
      </c>
      <c r="D1" s="61" t="s">
        <v>114</v>
      </c>
      <c r="E1" s="61"/>
      <c r="F1" s="2" t="s">
        <v>10</v>
      </c>
      <c r="G1" s="2"/>
      <c r="H1" s="3">
        <v>1</v>
      </c>
      <c r="I1" s="1" t="str">
        <f>"create table "&amp;B1&amp;" ("</f>
        <v>create table sl_key_controller (</v>
      </c>
      <c r="N1" s="7" t="s">
        <v>8</v>
      </c>
    </row>
    <row r="2" spans="1:14">
      <c r="A2" s="4" t="s">
        <v>15</v>
      </c>
      <c r="B2" s="4" t="s">
        <v>16</v>
      </c>
      <c r="C2" s="4" t="s">
        <v>17</v>
      </c>
      <c r="D2" s="4" t="s">
        <v>19</v>
      </c>
      <c r="E2" s="4" t="s">
        <v>20</v>
      </c>
      <c r="F2" s="4" t="s">
        <v>21</v>
      </c>
      <c r="G2" s="4" t="s">
        <v>61</v>
      </c>
      <c r="H2" s="4" t="s">
        <v>9</v>
      </c>
      <c r="I2" s="24"/>
      <c r="J2" s="24"/>
      <c r="K2" s="24"/>
    </row>
    <row r="3" spans="1:14" ht="16.5">
      <c r="A3" s="3" t="s">
        <v>22</v>
      </c>
      <c r="B3" s="3" t="s">
        <v>43</v>
      </c>
      <c r="C3" s="3">
        <v>20</v>
      </c>
      <c r="D3" s="3" t="s">
        <v>23</v>
      </c>
      <c r="E3" s="3" t="s">
        <v>52</v>
      </c>
      <c r="F3" s="3"/>
      <c r="G3" s="3" t="s">
        <v>70</v>
      </c>
      <c r="H3" s="3" t="s">
        <v>116</v>
      </c>
      <c r="I3" s="22" t="str">
        <f t="shared" ref="I3:I10" si="0">A3&amp;" "&amp;B3&amp;"("&amp;C3&amp;") "&amp;E3&amp;" "&amp;F3&amp;","</f>
        <v>id varchar(20) NOT NULL ,</v>
      </c>
      <c r="J3" s="1" t="str">
        <f t="shared" ref="J3:J10" si="1">"{""field"":"""&amp;A3&amp;""",""name"":"""&amp;G3&amp;""",""dataType"":"""&amp;B3&amp;"""},"</f>
        <v>{"field":"id","name":"编号","dataType":"varchar"},</v>
      </c>
      <c r="K3" s="1" t="str">
        <f t="shared" ref="K3:K10" si="2">"{""field"":"""&amp;A3&amp;""",""labelRegexp"":"""&amp;G3&amp;""",""excelRangeType"":""table""},"</f>
        <v>{"field":"id","labelRegexp":"编号","excelRangeType":"table"},</v>
      </c>
      <c r="L3" s="1" t="str">
        <f>"{""field"":"""&amp;A3&amp;""",""width"":150},"</f>
        <v>{"field":"id","width":150},</v>
      </c>
    </row>
    <row r="4" spans="1:14" ht="16.5">
      <c r="A4" s="3" t="s">
        <v>209</v>
      </c>
      <c r="B4" s="3" t="s">
        <v>43</v>
      </c>
      <c r="C4" s="3">
        <v>20</v>
      </c>
      <c r="D4" s="3" t="s">
        <v>24</v>
      </c>
      <c r="E4" s="3" t="s">
        <v>52</v>
      </c>
      <c r="F4" s="3"/>
      <c r="G4" s="35" t="s">
        <v>210</v>
      </c>
      <c r="H4" s="5"/>
      <c r="I4" s="22" t="str">
        <f t="shared" si="0"/>
        <v>ip varchar(20) NOT NULL ,</v>
      </c>
      <c r="J4" s="1" t="str">
        <f t="shared" si="1"/>
        <v>{"field":"ip","name":"IP地址","dataType":"varchar"},</v>
      </c>
      <c r="K4" s="1" t="str">
        <f t="shared" si="2"/>
        <v>{"field":"ip","labelRegexp":"IP地址","excelRangeType":"table"},</v>
      </c>
      <c r="L4" s="1" t="str">
        <f t="shared" ref="L4:L10" si="3">"{""field"":"""&amp;A4&amp;""",""width"":150},"</f>
        <v>{"field":"ip","width":150},</v>
      </c>
    </row>
    <row r="5" spans="1:14" ht="16.5">
      <c r="A5" s="3" t="s">
        <v>62</v>
      </c>
      <c r="B5" s="3" t="s">
        <v>43</v>
      </c>
      <c r="C5" s="3">
        <v>255</v>
      </c>
      <c r="D5" s="3" t="s">
        <v>24</v>
      </c>
      <c r="E5" s="3" t="s">
        <v>51</v>
      </c>
      <c r="F5" s="3"/>
      <c r="G5" s="29" t="s">
        <v>68</v>
      </c>
      <c r="H5" s="25"/>
      <c r="I5" s="22" t="str">
        <f t="shared" si="0"/>
        <v>remark varchar(255) NULL ,</v>
      </c>
      <c r="J5" s="1" t="str">
        <f t="shared" si="1"/>
        <v>{"field":"remark","name":"备注","dataType":"varchar"},</v>
      </c>
      <c r="L5" s="1" t="str">
        <f t="shared" si="3"/>
        <v>{"field":"remark","width":150},</v>
      </c>
    </row>
    <row r="6" spans="1:14" ht="16.5">
      <c r="A6" s="3" t="s">
        <v>44</v>
      </c>
      <c r="B6" s="3" t="s">
        <v>50</v>
      </c>
      <c r="C6" s="3">
        <v>0</v>
      </c>
      <c r="D6" s="3" t="s">
        <v>24</v>
      </c>
      <c r="E6" s="3" t="s">
        <v>52</v>
      </c>
      <c r="F6" s="3"/>
      <c r="G6" s="11" t="s">
        <v>56</v>
      </c>
      <c r="H6" s="11" t="s">
        <v>56</v>
      </c>
      <c r="I6" s="22" t="str">
        <f t="shared" si="0"/>
        <v>create_time datetime(0) NOT NULL ,</v>
      </c>
      <c r="J6" s="1" t="str">
        <f t="shared" si="1"/>
        <v>{"field":"create_time","name":"记录创建时间","dataType":"datetime"},</v>
      </c>
      <c r="K6" s="1" t="str">
        <f t="shared" si="2"/>
        <v>{"field":"create_time","labelRegexp":"记录创建时间","excelRangeType":"table"},</v>
      </c>
      <c r="L6" s="1" t="str">
        <f t="shared" si="3"/>
        <v>{"field":"create_time","width":150},</v>
      </c>
    </row>
    <row r="7" spans="1:14" ht="16.5">
      <c r="A7" s="3" t="s">
        <v>42</v>
      </c>
      <c r="B7" s="21" t="s">
        <v>43</v>
      </c>
      <c r="C7" s="21">
        <v>25</v>
      </c>
      <c r="D7" s="3" t="s">
        <v>24</v>
      </c>
      <c r="E7" s="3" t="s">
        <v>52</v>
      </c>
      <c r="F7" s="3"/>
      <c r="G7" s="11" t="s">
        <v>57</v>
      </c>
      <c r="H7" s="11" t="s">
        <v>57</v>
      </c>
      <c r="I7" s="22" t="str">
        <f t="shared" si="0"/>
        <v>create_user varchar(25) NOT NULL ,</v>
      </c>
      <c r="J7" s="1" t="str">
        <f t="shared" si="1"/>
        <v>{"field":"create_user","name":"记录创建人","dataType":"varchar"},</v>
      </c>
      <c r="K7" s="1" t="str">
        <f t="shared" si="2"/>
        <v>{"field":"create_user","labelRegexp":"记录创建人","excelRangeType":"table"},</v>
      </c>
      <c r="L7" s="1" t="str">
        <f t="shared" si="3"/>
        <v>{"field":"create_user","width":150},</v>
      </c>
    </row>
    <row r="8" spans="1:14" ht="16.5">
      <c r="A8" s="3" t="s">
        <v>53</v>
      </c>
      <c r="B8" s="3" t="s">
        <v>50</v>
      </c>
      <c r="C8" s="3">
        <v>0</v>
      </c>
      <c r="D8" s="3" t="s">
        <v>24</v>
      </c>
      <c r="E8" s="3" t="s">
        <v>52</v>
      </c>
      <c r="F8" s="3"/>
      <c r="G8" s="11" t="s">
        <v>58</v>
      </c>
      <c r="H8" s="11" t="s">
        <v>58</v>
      </c>
      <c r="I8" s="22" t="str">
        <f t="shared" si="0"/>
        <v>update_time datetime(0) NOT NULL ,</v>
      </c>
      <c r="J8" s="1" t="str">
        <f t="shared" si="1"/>
        <v>{"field":"update_time","name":"记录更新时间","dataType":"datetime"},</v>
      </c>
      <c r="K8" s="1" t="str">
        <f t="shared" si="2"/>
        <v>{"field":"update_time","labelRegexp":"记录更新时间","excelRangeType":"table"},</v>
      </c>
      <c r="L8" s="1" t="str">
        <f t="shared" si="3"/>
        <v>{"field":"update_time","width":150},</v>
      </c>
    </row>
    <row r="9" spans="1:14" ht="16.5">
      <c r="A9" s="3" t="s">
        <v>54</v>
      </c>
      <c r="B9" s="21" t="s">
        <v>43</v>
      </c>
      <c r="C9" s="21">
        <v>25</v>
      </c>
      <c r="D9" s="3" t="s">
        <v>24</v>
      </c>
      <c r="E9" s="3" t="s">
        <v>52</v>
      </c>
      <c r="F9" s="3"/>
      <c r="G9" s="11" t="s">
        <v>59</v>
      </c>
      <c r="H9" s="11" t="s">
        <v>59</v>
      </c>
      <c r="I9" s="22" t="str">
        <f t="shared" si="0"/>
        <v>update_user varchar(25) NOT NULL ,</v>
      </c>
      <c r="J9" s="1" t="str">
        <f t="shared" si="1"/>
        <v>{"field":"update_user","name":"记录更新人","dataType":"varchar"},</v>
      </c>
      <c r="K9" s="1" t="str">
        <f t="shared" si="2"/>
        <v>{"field":"update_user","labelRegexp":"记录更新人","excelRangeType":"table"},</v>
      </c>
      <c r="L9" s="1" t="str">
        <f t="shared" si="3"/>
        <v>{"field":"update_user","width":150},</v>
      </c>
    </row>
    <row r="10" spans="1:14" ht="16.5">
      <c r="A10" s="3" t="s">
        <v>25</v>
      </c>
      <c r="B10" s="3" t="s">
        <v>41</v>
      </c>
      <c r="C10" s="3">
        <v>11</v>
      </c>
      <c r="D10" s="3" t="s">
        <v>24</v>
      </c>
      <c r="E10" s="3" t="s">
        <v>52</v>
      </c>
      <c r="F10" s="3" t="s">
        <v>55</v>
      </c>
      <c r="G10" s="3" t="s">
        <v>60</v>
      </c>
      <c r="H10" s="3" t="s">
        <v>60</v>
      </c>
      <c r="I10" s="22" t="str">
        <f t="shared" si="0"/>
        <v>version int(11) NOT NULL DEFAULT 0,</v>
      </c>
      <c r="J10" s="1" t="str">
        <f t="shared" si="1"/>
        <v>{"field":"version","name":"数据版本号","dataType":"int"},</v>
      </c>
      <c r="K10" s="1" t="str">
        <f t="shared" si="2"/>
        <v>{"field":"version","labelRegexp":"数据版本号","excelRangeType":"table"},</v>
      </c>
      <c r="L10" s="1" t="str">
        <f t="shared" si="3"/>
        <v>{"field":"version","width":150},</v>
      </c>
    </row>
    <row r="11" spans="1:14">
      <c r="I11" s="1" t="str">
        <f>"PRIMARY KEY (`id`) USING BTREE)"</f>
        <v>PRIMARY KEY (`id`) USING BTREE)</v>
      </c>
    </row>
  </sheetData>
  <mergeCells count="1">
    <mergeCell ref="D1:E1"/>
  </mergeCells>
  <phoneticPr fontId="14" type="noConversion"/>
  <hyperlinks>
    <hyperlink ref="N1" location="目录!A1" display="目录" xr:uid="{00000000-0004-0000-0D00-000000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12"/>
  <sheetViews>
    <sheetView topLeftCell="I1" workbookViewId="0">
      <selection activeCell="I19" sqref="I19"/>
    </sheetView>
  </sheetViews>
  <sheetFormatPr defaultColWidth="9" defaultRowHeight="14.25"/>
  <cols>
    <col min="1" max="1" width="18.375" style="1" customWidth="1"/>
    <col min="2" max="2" width="9.125" style="1" bestFit="1" customWidth="1"/>
    <col min="3" max="3" width="6.75" style="1" bestFit="1" customWidth="1"/>
    <col min="4" max="4" width="5.375" style="1" bestFit="1" customWidth="1"/>
    <col min="5" max="5" width="20.75" style="1" customWidth="1"/>
    <col min="6" max="6" width="13.875" style="1" bestFit="1" customWidth="1"/>
    <col min="7" max="7" width="25.75" style="1" bestFit="1" customWidth="1"/>
    <col min="8" max="8" width="22" style="1" bestFit="1" customWidth="1"/>
    <col min="9" max="11" width="59.375" style="1" customWidth="1"/>
    <col min="12" max="12" width="44.625" style="1" bestFit="1" customWidth="1"/>
    <col min="13" max="13" width="44.625" style="1" customWidth="1"/>
    <col min="14" max="14" width="18.375" style="1" customWidth="1"/>
    <col min="15" max="16384" width="9" style="1"/>
  </cols>
  <sheetData>
    <row r="1" spans="1:14" ht="16.5">
      <c r="A1" s="2" t="s">
        <v>13</v>
      </c>
      <c r="B1" s="3" t="s">
        <v>109</v>
      </c>
      <c r="C1" s="2" t="s">
        <v>14</v>
      </c>
      <c r="D1" s="61" t="s">
        <v>113</v>
      </c>
      <c r="E1" s="61"/>
      <c r="F1" s="2" t="s">
        <v>10</v>
      </c>
      <c r="G1" s="2"/>
      <c r="H1" s="3">
        <v>1</v>
      </c>
      <c r="I1" s="1" t="str">
        <f>"create table "&amp;B1&amp;" ("</f>
        <v>create table sl_key (</v>
      </c>
      <c r="N1" s="7" t="s">
        <v>8</v>
      </c>
    </row>
    <row r="2" spans="1:14">
      <c r="A2" s="4" t="s">
        <v>15</v>
      </c>
      <c r="B2" s="4" t="s">
        <v>16</v>
      </c>
      <c r="C2" s="4" t="s">
        <v>17</v>
      </c>
      <c r="D2" s="4" t="s">
        <v>19</v>
      </c>
      <c r="E2" s="4" t="s">
        <v>20</v>
      </c>
      <c r="F2" s="4" t="s">
        <v>21</v>
      </c>
      <c r="G2" s="4" t="s">
        <v>61</v>
      </c>
      <c r="H2" s="4" t="s">
        <v>9</v>
      </c>
      <c r="I2" s="24"/>
      <c r="J2" s="24"/>
      <c r="K2" s="24"/>
    </row>
    <row r="3" spans="1:14" ht="16.5">
      <c r="A3" s="3" t="s">
        <v>22</v>
      </c>
      <c r="B3" s="3" t="s">
        <v>43</v>
      </c>
      <c r="C3" s="3">
        <v>20</v>
      </c>
      <c r="D3" s="3" t="s">
        <v>23</v>
      </c>
      <c r="E3" s="3" t="s">
        <v>52</v>
      </c>
      <c r="F3" s="3"/>
      <c r="G3" s="3" t="s">
        <v>70</v>
      </c>
      <c r="H3" s="3" t="s">
        <v>111</v>
      </c>
      <c r="I3" s="22" t="str">
        <f t="shared" ref="I3:I11" si="0">A3&amp;" "&amp;B3&amp;"("&amp;C3&amp;") "&amp;E3&amp;" "&amp;F3&amp;","</f>
        <v>id varchar(20) NOT NULL ,</v>
      </c>
      <c r="J3" s="1" t="str">
        <f t="shared" ref="J3:J11" si="1">"{""field"":"""&amp;A3&amp;""",""name"":"""&amp;G3&amp;""",""dataType"":"""&amp;B3&amp;"""},"</f>
        <v>{"field":"id","name":"编号","dataType":"varchar"},</v>
      </c>
      <c r="K3" s="1" t="str">
        <f t="shared" ref="K3:K11" si="2">"{""field"":"""&amp;A3&amp;""",""labelRegexp"":"""&amp;G3&amp;""",""excelRangeType"":""table""},"</f>
        <v>{"field":"id","labelRegexp":"编号","excelRangeType":"table"},</v>
      </c>
      <c r="L3" s="1" t="str">
        <f>"{""field"":"""&amp;A3&amp;""",""width"":150},"</f>
        <v>{"field":"id","width":150},</v>
      </c>
    </row>
    <row r="4" spans="1:14" ht="16.5">
      <c r="A4" s="3" t="s">
        <v>31</v>
      </c>
      <c r="B4" s="3" t="s">
        <v>43</v>
      </c>
      <c r="C4" s="3">
        <v>20</v>
      </c>
      <c r="D4" s="3" t="s">
        <v>24</v>
      </c>
      <c r="E4" s="3" t="s">
        <v>52</v>
      </c>
      <c r="F4" s="3"/>
      <c r="G4" s="29" t="s">
        <v>69</v>
      </c>
      <c r="H4" s="5"/>
      <c r="I4" s="22" t="str">
        <f t="shared" si="0"/>
        <v>name varchar(20) NOT NULL ,</v>
      </c>
      <c r="J4" s="1" t="str">
        <f t="shared" si="1"/>
        <v>{"field":"name","name":"名称","dataType":"varchar"},</v>
      </c>
      <c r="K4" s="1" t="str">
        <f t="shared" si="2"/>
        <v>{"field":"name","labelRegexp":"名称","excelRangeType":"table"},</v>
      </c>
      <c r="L4" s="1" t="str">
        <f t="shared" ref="L4:L11" si="3">"{""field"":"""&amp;A4&amp;""",""width"":150},"</f>
        <v>{"field":"name","width":150},</v>
      </c>
    </row>
    <row r="5" spans="1:14" ht="16.5">
      <c r="A5" s="3" t="s">
        <v>211</v>
      </c>
      <c r="B5" s="3" t="s">
        <v>43</v>
      </c>
      <c r="C5" s="3">
        <v>20</v>
      </c>
      <c r="D5" s="3" t="s">
        <v>206</v>
      </c>
      <c r="E5" s="3" t="s">
        <v>52</v>
      </c>
      <c r="F5" s="3"/>
      <c r="G5" s="35" t="s">
        <v>212</v>
      </c>
      <c r="H5" s="5"/>
      <c r="I5" s="22" t="str">
        <f t="shared" si="0"/>
        <v>controller varchar(20) NOT NULL ,</v>
      </c>
      <c r="J5" s="1" t="str">
        <f t="shared" si="1"/>
        <v>{"field":"controller","name":"管理机","dataType":"varchar"},</v>
      </c>
    </row>
    <row r="6" spans="1:14" ht="16.5">
      <c r="A6" s="3" t="s">
        <v>62</v>
      </c>
      <c r="B6" s="3" t="s">
        <v>43</v>
      </c>
      <c r="C6" s="3">
        <v>255</v>
      </c>
      <c r="D6" s="3" t="s">
        <v>24</v>
      </c>
      <c r="E6" s="3" t="s">
        <v>51</v>
      </c>
      <c r="F6" s="3"/>
      <c r="G6" s="29" t="s">
        <v>68</v>
      </c>
      <c r="H6" s="25"/>
      <c r="I6" s="22" t="str">
        <f t="shared" si="0"/>
        <v>remark varchar(255) NULL ,</v>
      </c>
      <c r="J6" s="1" t="str">
        <f t="shared" si="1"/>
        <v>{"field":"remark","name":"备注","dataType":"varchar"},</v>
      </c>
      <c r="L6" s="1" t="str">
        <f t="shared" si="3"/>
        <v>{"field":"remark","width":150},</v>
      </c>
    </row>
    <row r="7" spans="1:14" ht="16.5">
      <c r="A7" s="3" t="s">
        <v>44</v>
      </c>
      <c r="B7" s="3" t="s">
        <v>50</v>
      </c>
      <c r="C7" s="3">
        <v>0</v>
      </c>
      <c r="D7" s="3" t="s">
        <v>24</v>
      </c>
      <c r="E7" s="3" t="s">
        <v>52</v>
      </c>
      <c r="F7" s="3"/>
      <c r="G7" s="11" t="s">
        <v>56</v>
      </c>
      <c r="H7" s="11" t="s">
        <v>56</v>
      </c>
      <c r="I7" s="22" t="str">
        <f t="shared" si="0"/>
        <v>create_time datetime(0) NOT NULL ,</v>
      </c>
      <c r="J7" s="1" t="str">
        <f t="shared" si="1"/>
        <v>{"field":"create_time","name":"记录创建时间","dataType":"datetime"},</v>
      </c>
      <c r="K7" s="1" t="str">
        <f t="shared" si="2"/>
        <v>{"field":"create_time","labelRegexp":"记录创建时间","excelRangeType":"table"},</v>
      </c>
      <c r="L7" s="1" t="str">
        <f t="shared" si="3"/>
        <v>{"field":"create_time","width":150},</v>
      </c>
    </row>
    <row r="8" spans="1:14" ht="16.5">
      <c r="A8" s="3" t="s">
        <v>42</v>
      </c>
      <c r="B8" s="21" t="s">
        <v>43</v>
      </c>
      <c r="C8" s="21">
        <v>25</v>
      </c>
      <c r="D8" s="3" t="s">
        <v>24</v>
      </c>
      <c r="E8" s="3" t="s">
        <v>52</v>
      </c>
      <c r="F8" s="3"/>
      <c r="G8" s="11" t="s">
        <v>57</v>
      </c>
      <c r="H8" s="11" t="s">
        <v>57</v>
      </c>
      <c r="I8" s="22" t="str">
        <f t="shared" si="0"/>
        <v>create_user varchar(25) NOT NULL ,</v>
      </c>
      <c r="J8" s="1" t="str">
        <f t="shared" si="1"/>
        <v>{"field":"create_user","name":"记录创建人","dataType":"varchar"},</v>
      </c>
      <c r="K8" s="1" t="str">
        <f t="shared" si="2"/>
        <v>{"field":"create_user","labelRegexp":"记录创建人","excelRangeType":"table"},</v>
      </c>
      <c r="L8" s="1" t="str">
        <f t="shared" si="3"/>
        <v>{"field":"create_user","width":150},</v>
      </c>
    </row>
    <row r="9" spans="1:14" ht="16.5">
      <c r="A9" s="3" t="s">
        <v>53</v>
      </c>
      <c r="B9" s="3" t="s">
        <v>50</v>
      </c>
      <c r="C9" s="3">
        <v>0</v>
      </c>
      <c r="D9" s="3" t="s">
        <v>24</v>
      </c>
      <c r="E9" s="3" t="s">
        <v>52</v>
      </c>
      <c r="F9" s="3"/>
      <c r="G9" s="11" t="s">
        <v>58</v>
      </c>
      <c r="H9" s="11" t="s">
        <v>58</v>
      </c>
      <c r="I9" s="22" t="str">
        <f t="shared" si="0"/>
        <v>update_time datetime(0) NOT NULL ,</v>
      </c>
      <c r="J9" s="1" t="str">
        <f t="shared" si="1"/>
        <v>{"field":"update_time","name":"记录更新时间","dataType":"datetime"},</v>
      </c>
      <c r="K9" s="1" t="str">
        <f t="shared" si="2"/>
        <v>{"field":"update_time","labelRegexp":"记录更新时间","excelRangeType":"table"},</v>
      </c>
      <c r="L9" s="1" t="str">
        <f t="shared" si="3"/>
        <v>{"field":"update_time","width":150},</v>
      </c>
    </row>
    <row r="10" spans="1:14" ht="16.5">
      <c r="A10" s="3" t="s">
        <v>54</v>
      </c>
      <c r="B10" s="21" t="s">
        <v>43</v>
      </c>
      <c r="C10" s="21">
        <v>25</v>
      </c>
      <c r="D10" s="3" t="s">
        <v>24</v>
      </c>
      <c r="E10" s="3" t="s">
        <v>52</v>
      </c>
      <c r="F10" s="3"/>
      <c r="G10" s="11" t="s">
        <v>59</v>
      </c>
      <c r="H10" s="11" t="s">
        <v>59</v>
      </c>
      <c r="I10" s="22" t="str">
        <f t="shared" si="0"/>
        <v>update_user varchar(25) NOT NULL ,</v>
      </c>
      <c r="J10" s="1" t="str">
        <f t="shared" si="1"/>
        <v>{"field":"update_user","name":"记录更新人","dataType":"varchar"},</v>
      </c>
      <c r="K10" s="1" t="str">
        <f t="shared" si="2"/>
        <v>{"field":"update_user","labelRegexp":"记录更新人","excelRangeType":"table"},</v>
      </c>
      <c r="L10" s="1" t="str">
        <f t="shared" si="3"/>
        <v>{"field":"update_user","width":150},</v>
      </c>
    </row>
    <row r="11" spans="1:14" ht="16.5">
      <c r="A11" s="3" t="s">
        <v>25</v>
      </c>
      <c r="B11" s="3" t="s">
        <v>41</v>
      </c>
      <c r="C11" s="3">
        <v>11</v>
      </c>
      <c r="D11" s="3" t="s">
        <v>24</v>
      </c>
      <c r="E11" s="3" t="s">
        <v>52</v>
      </c>
      <c r="F11" s="3" t="s">
        <v>55</v>
      </c>
      <c r="G11" s="3" t="s">
        <v>60</v>
      </c>
      <c r="H11" s="3" t="s">
        <v>60</v>
      </c>
      <c r="I11" s="22" t="str">
        <f t="shared" si="0"/>
        <v>version int(11) NOT NULL DEFAULT 0,</v>
      </c>
      <c r="J11" s="1" t="str">
        <f t="shared" si="1"/>
        <v>{"field":"version","name":"数据版本号","dataType":"int"},</v>
      </c>
      <c r="K11" s="1" t="str">
        <f t="shared" si="2"/>
        <v>{"field":"version","labelRegexp":"数据版本号","excelRangeType":"table"},</v>
      </c>
      <c r="L11" s="1" t="str">
        <f t="shared" si="3"/>
        <v>{"field":"version","width":150},</v>
      </c>
    </row>
    <row r="12" spans="1:14">
      <c r="I12" s="1" t="str">
        <f>"PRIMARY KEY (`id`) USING BTREE)"</f>
        <v>PRIMARY KEY (`id`) USING BTREE)</v>
      </c>
    </row>
  </sheetData>
  <mergeCells count="1">
    <mergeCell ref="D1:E1"/>
  </mergeCells>
  <phoneticPr fontId="14" type="noConversion"/>
  <hyperlinks>
    <hyperlink ref="N1" location="目录!A1" display="目录" xr:uid="{00000000-0004-0000-0E00-000000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10"/>
  <sheetViews>
    <sheetView topLeftCell="I1" workbookViewId="0">
      <selection activeCell="L3" sqref="L3:L9"/>
    </sheetView>
  </sheetViews>
  <sheetFormatPr defaultColWidth="9" defaultRowHeight="14.25"/>
  <cols>
    <col min="1" max="1" width="26.25" style="1" bestFit="1" customWidth="1"/>
    <col min="2" max="2" width="18" style="1" customWidth="1"/>
    <col min="3" max="3" width="6.75" style="1" bestFit="1" customWidth="1"/>
    <col min="4" max="4" width="5.375" style="1" bestFit="1" customWidth="1"/>
    <col min="5" max="5" width="9.625" style="1" bestFit="1" customWidth="1"/>
    <col min="6" max="6" width="13.875" style="1" bestFit="1" customWidth="1"/>
    <col min="7" max="7" width="25.75" style="1" bestFit="1" customWidth="1"/>
    <col min="8" max="8" width="22" style="1" bestFit="1" customWidth="1"/>
    <col min="9" max="11" width="59.375" style="1" customWidth="1"/>
    <col min="12" max="12" width="44.625" style="1" bestFit="1" customWidth="1"/>
    <col min="13" max="13" width="44.625" style="1" customWidth="1"/>
    <col min="14" max="14" width="18.375" style="1" customWidth="1"/>
    <col min="15" max="16384" width="9" style="1"/>
  </cols>
  <sheetData>
    <row r="1" spans="1:14" ht="16.5">
      <c r="A1" s="2" t="s">
        <v>13</v>
      </c>
      <c r="B1" s="3" t="s">
        <v>95</v>
      </c>
      <c r="C1" s="2" t="s">
        <v>14</v>
      </c>
      <c r="D1" s="61" t="s">
        <v>96</v>
      </c>
      <c r="E1" s="61"/>
      <c r="F1" s="2" t="s">
        <v>10</v>
      </c>
      <c r="G1" s="2"/>
      <c r="H1" s="3">
        <v>1</v>
      </c>
      <c r="I1" s="1" t="str">
        <f>"create table "&amp;B1&amp;" ("</f>
        <v>create table sl_area_type (</v>
      </c>
      <c r="N1" s="7" t="s">
        <v>8</v>
      </c>
    </row>
    <row r="2" spans="1:14">
      <c r="A2" s="4" t="s">
        <v>15</v>
      </c>
      <c r="B2" s="4" t="s">
        <v>16</v>
      </c>
      <c r="C2" s="4" t="s">
        <v>17</v>
      </c>
      <c r="D2" s="4" t="s">
        <v>19</v>
      </c>
      <c r="E2" s="4" t="s">
        <v>20</v>
      </c>
      <c r="F2" s="4" t="s">
        <v>21</v>
      </c>
      <c r="G2" s="4" t="s">
        <v>61</v>
      </c>
      <c r="H2" s="4" t="s">
        <v>9</v>
      </c>
      <c r="I2" s="24"/>
      <c r="J2" s="24"/>
      <c r="K2" s="24"/>
    </row>
    <row r="3" spans="1:14" ht="16.5">
      <c r="A3" s="3" t="s">
        <v>22</v>
      </c>
      <c r="B3" s="3" t="s">
        <v>43</v>
      </c>
      <c r="C3" s="3">
        <v>5</v>
      </c>
      <c r="D3" s="3" t="s">
        <v>23</v>
      </c>
      <c r="E3" s="3" t="s">
        <v>52</v>
      </c>
      <c r="F3" s="3"/>
      <c r="G3" s="3" t="s">
        <v>70</v>
      </c>
      <c r="H3" s="3"/>
      <c r="I3" s="22" t="str">
        <f t="shared" ref="I3:I9" si="0">A3&amp;" "&amp;B3&amp;"("&amp;C3&amp;") "&amp;E3&amp;" "&amp;F3&amp;","</f>
        <v>id varchar(5) NOT NULL ,</v>
      </c>
      <c r="J3" s="1" t="str">
        <f t="shared" ref="J3:J9" si="1">"{""field"":"""&amp;A3&amp;""",""name"":"""&amp;G3&amp;""",""dataType"":"""&amp;B3&amp;"""},"</f>
        <v>{"field":"id","name":"编号","dataType":"varchar"},</v>
      </c>
      <c r="K3" s="1" t="str">
        <f t="shared" ref="K3:K9" si="2">"{""field"":"""&amp;A3&amp;""",""labelRegexp"":"""&amp;G3&amp;""",""excelRangeType"":""table""},"</f>
        <v>{"field":"id","labelRegexp":"编号","excelRangeType":"table"},</v>
      </c>
      <c r="L3" s="1" t="str">
        <f>"{""field"":"""&amp;A3&amp;""",""width"":150},"</f>
        <v>{"field":"id","width":150},</v>
      </c>
    </row>
    <row r="4" spans="1:14" ht="16.5">
      <c r="A4" s="3" t="s">
        <v>31</v>
      </c>
      <c r="B4" s="3" t="s">
        <v>43</v>
      </c>
      <c r="C4" s="3">
        <v>20</v>
      </c>
      <c r="D4" s="3" t="s">
        <v>24</v>
      </c>
      <c r="E4" s="3" t="s">
        <v>52</v>
      </c>
      <c r="F4" s="3"/>
      <c r="G4" s="29" t="s">
        <v>69</v>
      </c>
      <c r="H4" s="5"/>
      <c r="I4" s="22" t="str">
        <f t="shared" si="0"/>
        <v>name varchar(20) NOT NULL ,</v>
      </c>
      <c r="J4" s="1" t="str">
        <f t="shared" si="1"/>
        <v>{"field":"name","name":"名称","dataType":"varchar"},</v>
      </c>
      <c r="K4" s="1" t="str">
        <f t="shared" si="2"/>
        <v>{"field":"name","labelRegexp":"名称","excelRangeType":"table"},</v>
      </c>
      <c r="L4" s="1" t="str">
        <f t="shared" ref="L4:L9" si="3">"{""field"":"""&amp;A4&amp;""",""width"":150},"</f>
        <v>{"field":"name","width":150},</v>
      </c>
    </row>
    <row r="5" spans="1:14" ht="16.5">
      <c r="A5" s="3" t="s">
        <v>44</v>
      </c>
      <c r="B5" s="3" t="s">
        <v>50</v>
      </c>
      <c r="C5" s="3">
        <v>0</v>
      </c>
      <c r="D5" s="3" t="s">
        <v>24</v>
      </c>
      <c r="E5" s="3" t="s">
        <v>52</v>
      </c>
      <c r="F5" s="3"/>
      <c r="G5" s="11" t="s">
        <v>56</v>
      </c>
      <c r="H5" s="11" t="s">
        <v>56</v>
      </c>
      <c r="I5" s="22" t="str">
        <f t="shared" si="0"/>
        <v>create_time datetime(0) NOT NULL ,</v>
      </c>
      <c r="J5" s="1" t="str">
        <f t="shared" si="1"/>
        <v>{"field":"create_time","name":"记录创建时间","dataType":"datetime"},</v>
      </c>
      <c r="K5" s="1" t="str">
        <f t="shared" si="2"/>
        <v>{"field":"create_time","labelRegexp":"记录创建时间","excelRangeType":"table"},</v>
      </c>
      <c r="L5" s="1" t="str">
        <f t="shared" si="3"/>
        <v>{"field":"create_time","width":150},</v>
      </c>
    </row>
    <row r="6" spans="1:14" ht="16.5">
      <c r="A6" s="3" t="s">
        <v>42</v>
      </c>
      <c r="B6" s="21" t="s">
        <v>43</v>
      </c>
      <c r="C6" s="21">
        <v>25</v>
      </c>
      <c r="D6" s="3" t="s">
        <v>24</v>
      </c>
      <c r="E6" s="3" t="s">
        <v>52</v>
      </c>
      <c r="F6" s="3"/>
      <c r="G6" s="11" t="s">
        <v>57</v>
      </c>
      <c r="H6" s="11" t="s">
        <v>57</v>
      </c>
      <c r="I6" s="22" t="str">
        <f t="shared" si="0"/>
        <v>create_user varchar(25) NOT NULL ,</v>
      </c>
      <c r="J6" s="1" t="str">
        <f t="shared" si="1"/>
        <v>{"field":"create_user","name":"记录创建人","dataType":"varchar"},</v>
      </c>
      <c r="K6" s="1" t="str">
        <f t="shared" si="2"/>
        <v>{"field":"create_user","labelRegexp":"记录创建人","excelRangeType":"table"},</v>
      </c>
      <c r="L6" s="1" t="str">
        <f t="shared" si="3"/>
        <v>{"field":"create_user","width":150},</v>
      </c>
    </row>
    <row r="7" spans="1:14" ht="16.5">
      <c r="A7" s="3" t="s">
        <v>53</v>
      </c>
      <c r="B7" s="3" t="s">
        <v>50</v>
      </c>
      <c r="C7" s="3">
        <v>0</v>
      </c>
      <c r="D7" s="3" t="s">
        <v>24</v>
      </c>
      <c r="E7" s="3" t="s">
        <v>52</v>
      </c>
      <c r="F7" s="3"/>
      <c r="G7" s="11" t="s">
        <v>58</v>
      </c>
      <c r="H7" s="11" t="s">
        <v>58</v>
      </c>
      <c r="I7" s="22" t="str">
        <f t="shared" si="0"/>
        <v>update_time datetime(0) NOT NULL ,</v>
      </c>
      <c r="J7" s="1" t="str">
        <f t="shared" si="1"/>
        <v>{"field":"update_time","name":"记录更新时间","dataType":"datetime"},</v>
      </c>
      <c r="K7" s="1" t="str">
        <f t="shared" si="2"/>
        <v>{"field":"update_time","labelRegexp":"记录更新时间","excelRangeType":"table"},</v>
      </c>
      <c r="L7" s="1" t="str">
        <f t="shared" si="3"/>
        <v>{"field":"update_time","width":150},</v>
      </c>
    </row>
    <row r="8" spans="1:14" ht="16.5">
      <c r="A8" s="3" t="s">
        <v>54</v>
      </c>
      <c r="B8" s="21" t="s">
        <v>43</v>
      </c>
      <c r="C8" s="21">
        <v>25</v>
      </c>
      <c r="D8" s="3" t="s">
        <v>24</v>
      </c>
      <c r="E8" s="3" t="s">
        <v>52</v>
      </c>
      <c r="F8" s="3"/>
      <c r="G8" s="11" t="s">
        <v>59</v>
      </c>
      <c r="H8" s="11" t="s">
        <v>59</v>
      </c>
      <c r="I8" s="22" t="str">
        <f t="shared" si="0"/>
        <v>update_user varchar(25) NOT NULL ,</v>
      </c>
      <c r="J8" s="1" t="str">
        <f t="shared" si="1"/>
        <v>{"field":"update_user","name":"记录更新人","dataType":"varchar"},</v>
      </c>
      <c r="K8" s="1" t="str">
        <f t="shared" si="2"/>
        <v>{"field":"update_user","labelRegexp":"记录更新人","excelRangeType":"table"},</v>
      </c>
      <c r="L8" s="1" t="str">
        <f t="shared" si="3"/>
        <v>{"field":"update_user","width":150},</v>
      </c>
    </row>
    <row r="9" spans="1:14" ht="16.5">
      <c r="A9" s="3" t="s">
        <v>25</v>
      </c>
      <c r="B9" s="3" t="s">
        <v>41</v>
      </c>
      <c r="C9" s="3">
        <v>11</v>
      </c>
      <c r="D9" s="3" t="s">
        <v>24</v>
      </c>
      <c r="E9" s="3" t="s">
        <v>52</v>
      </c>
      <c r="F9" s="3" t="s">
        <v>55</v>
      </c>
      <c r="G9" s="3" t="s">
        <v>60</v>
      </c>
      <c r="H9" s="3" t="s">
        <v>60</v>
      </c>
      <c r="I9" s="22" t="str">
        <f t="shared" si="0"/>
        <v>version int(11) NOT NULL DEFAULT 0,</v>
      </c>
      <c r="J9" s="1" t="str">
        <f t="shared" si="1"/>
        <v>{"field":"version","name":"数据版本号","dataType":"int"},</v>
      </c>
      <c r="K9" s="1" t="str">
        <f t="shared" si="2"/>
        <v>{"field":"version","labelRegexp":"数据版本号","excelRangeType":"table"},</v>
      </c>
      <c r="L9" s="1" t="str">
        <f t="shared" si="3"/>
        <v>{"field":"version","width":150},</v>
      </c>
    </row>
    <row r="10" spans="1:14">
      <c r="I10" s="1" t="str">
        <f>"PRIMARY KEY (`id`) USING BTREE)"</f>
        <v>PRIMARY KEY (`id`) USING BTREE)</v>
      </c>
    </row>
  </sheetData>
  <mergeCells count="1">
    <mergeCell ref="D1:E1"/>
  </mergeCells>
  <phoneticPr fontId="14" type="noConversion"/>
  <hyperlinks>
    <hyperlink ref="N1" location="目录!A1" display="目录" xr:uid="{00000000-0004-0000-0F00-000000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E9"/>
  <sheetViews>
    <sheetView zoomScale="70" zoomScaleNormal="70" workbookViewId="0">
      <selection activeCell="E1" sqref="E1:AE1"/>
    </sheetView>
  </sheetViews>
  <sheetFormatPr defaultColWidth="2.375" defaultRowHeight="14.25" customHeight="1"/>
  <cols>
    <col min="1" max="3" width="2.375" style="12"/>
    <col min="4" max="4" width="13.75" style="12" customWidth="1"/>
    <col min="5" max="6" width="2.375" style="12" customWidth="1"/>
    <col min="7" max="7" width="4" style="12" customWidth="1"/>
    <col min="8" max="11" width="2.375" style="12" customWidth="1"/>
    <col min="12" max="12" width="3.375" style="12" customWidth="1"/>
    <col min="13" max="13" width="3.25" style="12" customWidth="1"/>
    <col min="14" max="16" width="3.375" style="12" customWidth="1"/>
    <col min="17" max="17" width="7.75" style="12" customWidth="1"/>
    <col min="18" max="18" width="3.125" style="12" customWidth="1"/>
    <col min="19" max="19" width="2.375" style="12" customWidth="1"/>
    <col min="20" max="16384" width="2.375" style="12"/>
  </cols>
  <sheetData>
    <row r="1" spans="1:31" ht="14.25" customHeight="1">
      <c r="A1" s="62" t="s">
        <v>7</v>
      </c>
      <c r="B1" s="62"/>
      <c r="C1" s="62"/>
      <c r="D1" s="62"/>
      <c r="E1" s="63" t="s">
        <v>12</v>
      </c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</row>
    <row r="2" spans="1:31" ht="14.25" customHeight="1">
      <c r="A2" s="65"/>
      <c r="B2" s="65"/>
      <c r="C2" s="65"/>
      <c r="D2" s="65"/>
    </row>
    <row r="3" spans="1:31" ht="14.25" customHeight="1">
      <c r="D3" s="13"/>
      <c r="F3" s="14"/>
    </row>
    <row r="5" spans="1:31" ht="14.25" customHeight="1">
      <c r="D5" s="15"/>
      <c r="F5" s="14"/>
    </row>
    <row r="7" spans="1:31" ht="14.25" customHeight="1">
      <c r="D7" s="16"/>
      <c r="F7" s="14"/>
    </row>
    <row r="9" spans="1:31" ht="14.25" customHeight="1">
      <c r="D9" s="17"/>
      <c r="F9" s="14"/>
    </row>
  </sheetData>
  <mergeCells count="3">
    <mergeCell ref="A1:D1"/>
    <mergeCell ref="E1:AE1"/>
    <mergeCell ref="A2:D2"/>
  </mergeCells>
  <phoneticPr fontId="12" type="noConversion"/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12"/>
  <sheetViews>
    <sheetView topLeftCell="J1" zoomScale="115" zoomScaleNormal="115" workbookViewId="0">
      <selection activeCell="K24" sqref="K24"/>
    </sheetView>
  </sheetViews>
  <sheetFormatPr defaultColWidth="9" defaultRowHeight="14.25"/>
  <cols>
    <col min="1" max="1" width="26.25" style="1" bestFit="1" customWidth="1"/>
    <col min="2" max="2" width="18" style="1" customWidth="1"/>
    <col min="3" max="3" width="6.75" style="1" bestFit="1" customWidth="1"/>
    <col min="4" max="4" width="5.375" style="1" bestFit="1" customWidth="1"/>
    <col min="5" max="5" width="9.625" style="1" bestFit="1" customWidth="1"/>
    <col min="6" max="6" width="13.875" style="1" bestFit="1" customWidth="1"/>
    <col min="7" max="7" width="25.75" style="1" bestFit="1" customWidth="1"/>
    <col min="8" max="8" width="22" style="1" bestFit="1" customWidth="1"/>
    <col min="9" max="11" width="59.375" style="1" customWidth="1"/>
    <col min="12" max="12" width="44.625" style="1" bestFit="1" customWidth="1"/>
    <col min="13" max="13" width="44.625" style="1" customWidth="1"/>
    <col min="14" max="14" width="18.375" style="1" customWidth="1"/>
    <col min="15" max="16384" width="9" style="1"/>
  </cols>
  <sheetData>
    <row r="1" spans="1:14" ht="16.5">
      <c r="A1" s="2" t="s">
        <v>13</v>
      </c>
      <c r="B1" s="3" t="s">
        <v>90</v>
      </c>
      <c r="C1" s="2" t="s">
        <v>14</v>
      </c>
      <c r="D1" s="61" t="s">
        <v>91</v>
      </c>
      <c r="E1" s="61"/>
      <c r="F1" s="2" t="s">
        <v>10</v>
      </c>
      <c r="G1" s="2"/>
      <c r="H1" s="3">
        <v>1</v>
      </c>
      <c r="I1" s="1" t="str">
        <f>"create table "&amp;B1&amp;" ("</f>
        <v>create table sl_room (</v>
      </c>
      <c r="N1" s="7" t="s">
        <v>8</v>
      </c>
    </row>
    <row r="2" spans="1:14">
      <c r="A2" s="4" t="s">
        <v>15</v>
      </c>
      <c r="B2" s="4" t="s">
        <v>16</v>
      </c>
      <c r="C2" s="4" t="s">
        <v>17</v>
      </c>
      <c r="D2" s="4" t="s">
        <v>19</v>
      </c>
      <c r="E2" s="4" t="s">
        <v>20</v>
      </c>
      <c r="F2" s="4" t="s">
        <v>21</v>
      </c>
      <c r="G2" s="4" t="s">
        <v>61</v>
      </c>
      <c r="H2" s="4" t="s">
        <v>9</v>
      </c>
      <c r="I2" s="24"/>
      <c r="J2" s="24"/>
      <c r="K2" s="24"/>
    </row>
    <row r="3" spans="1:14" ht="16.5">
      <c r="A3" s="3" t="s">
        <v>22</v>
      </c>
      <c r="B3" s="3" t="s">
        <v>43</v>
      </c>
      <c r="C3" s="3">
        <v>20</v>
      </c>
      <c r="D3" s="3" t="s">
        <v>23</v>
      </c>
      <c r="E3" s="3" t="s">
        <v>52</v>
      </c>
      <c r="F3" s="3"/>
      <c r="G3" s="3" t="s">
        <v>70</v>
      </c>
      <c r="H3" s="3" t="s">
        <v>92</v>
      </c>
      <c r="I3" s="22" t="str">
        <f t="shared" ref="I3:I11" si="0">A3&amp;" "&amp;B3&amp;"("&amp;C3&amp;") "&amp;E3&amp;" "&amp;F3&amp;","</f>
        <v>id varchar(20) NOT NULL ,</v>
      </c>
      <c r="J3" s="1" t="str">
        <f t="shared" ref="J3:J11" si="1">"{""field"":"""&amp;A3&amp;""",""name"":"""&amp;G3&amp;""",""dataType"":"""&amp;B3&amp;"""},"</f>
        <v>{"field":"id","name":"编号","dataType":"varchar"},</v>
      </c>
      <c r="K3" s="1" t="str">
        <f t="shared" ref="K3:K11" si="2">"{""field"":"""&amp;A3&amp;""",""labelRegexp"":"""&amp;G3&amp;""",""excelRangeType"":""table""},"</f>
        <v>{"field":"id","labelRegexp":"编号","excelRangeType":"table"},</v>
      </c>
      <c r="L3" s="1" t="str">
        <f>"{""field"":"""&amp;A3&amp;""",""width"":150},"</f>
        <v>{"field":"id","width":150},</v>
      </c>
    </row>
    <row r="4" spans="1:14" ht="16.5">
      <c r="A4" s="3" t="s">
        <v>31</v>
      </c>
      <c r="B4" s="3" t="s">
        <v>43</v>
      </c>
      <c r="C4" s="3">
        <v>20</v>
      </c>
      <c r="D4" s="3" t="s">
        <v>24</v>
      </c>
      <c r="E4" s="3" t="s">
        <v>52</v>
      </c>
      <c r="F4" s="3"/>
      <c r="G4" s="29" t="s">
        <v>69</v>
      </c>
      <c r="H4" s="5"/>
      <c r="I4" s="22" t="str">
        <f t="shared" si="0"/>
        <v>name varchar(20) NOT NULL ,</v>
      </c>
      <c r="J4" s="1" t="str">
        <f t="shared" si="1"/>
        <v>{"field":"name","name":"名称","dataType":"varchar"},</v>
      </c>
      <c r="K4" s="1" t="str">
        <f t="shared" si="2"/>
        <v>{"field":"name","labelRegexp":"名称","excelRangeType":"table"},</v>
      </c>
      <c r="L4" s="1" t="str">
        <f t="shared" ref="L4:L11" si="3">"{""field"":"""&amp;A4&amp;""",""width"":150},"</f>
        <v>{"field":"name","width":150},</v>
      </c>
    </row>
    <row r="5" spans="1:14" ht="16.5">
      <c r="A5" s="3" t="s">
        <v>93</v>
      </c>
      <c r="B5" s="3" t="s">
        <v>43</v>
      </c>
      <c r="C5" s="3">
        <v>255</v>
      </c>
      <c r="D5" s="3" t="s">
        <v>24</v>
      </c>
      <c r="E5" s="3" t="s">
        <v>51</v>
      </c>
      <c r="F5" s="3"/>
      <c r="G5" s="29" t="s">
        <v>94</v>
      </c>
      <c r="H5" s="25"/>
      <c r="I5" s="22" t="str">
        <f t="shared" si="0"/>
        <v>location varchar(255) NULL ,</v>
      </c>
      <c r="J5" s="1" t="str">
        <f t="shared" si="1"/>
        <v>{"field":"location","name":"位置","dataType":"varchar"},</v>
      </c>
      <c r="K5" s="1" t="str">
        <f t="shared" si="2"/>
        <v>{"field":"location","labelRegexp":"位置","excelRangeType":"table"},</v>
      </c>
      <c r="L5" s="1" t="str">
        <f t="shared" si="3"/>
        <v>{"field":"location","width":150},</v>
      </c>
    </row>
    <row r="6" spans="1:14" ht="16.5">
      <c r="A6" s="3" t="s">
        <v>62</v>
      </c>
      <c r="B6" s="3" t="s">
        <v>43</v>
      </c>
      <c r="C6" s="3">
        <v>255</v>
      </c>
      <c r="D6" s="3" t="s">
        <v>24</v>
      </c>
      <c r="E6" s="3" t="s">
        <v>51</v>
      </c>
      <c r="F6" s="3"/>
      <c r="G6" s="29" t="s">
        <v>68</v>
      </c>
      <c r="H6" s="25"/>
      <c r="I6" s="22" t="str">
        <f t="shared" si="0"/>
        <v>remark varchar(255) NULL ,</v>
      </c>
      <c r="J6" s="1" t="str">
        <f t="shared" si="1"/>
        <v>{"field":"remark","name":"备注","dataType":"varchar"},</v>
      </c>
      <c r="L6" s="1" t="str">
        <f t="shared" si="3"/>
        <v>{"field":"remark","width":150},</v>
      </c>
    </row>
    <row r="7" spans="1:14" ht="16.5">
      <c r="A7" s="3" t="s">
        <v>44</v>
      </c>
      <c r="B7" s="3" t="s">
        <v>50</v>
      </c>
      <c r="C7" s="3">
        <v>0</v>
      </c>
      <c r="D7" s="3" t="s">
        <v>24</v>
      </c>
      <c r="E7" s="3" t="s">
        <v>52</v>
      </c>
      <c r="F7" s="3"/>
      <c r="G7" s="11" t="s">
        <v>56</v>
      </c>
      <c r="H7" s="11" t="s">
        <v>56</v>
      </c>
      <c r="I7" s="22" t="str">
        <f t="shared" si="0"/>
        <v>create_time datetime(0) NOT NULL ,</v>
      </c>
      <c r="J7" s="1" t="str">
        <f t="shared" si="1"/>
        <v>{"field":"create_time","name":"记录创建时间","dataType":"datetime"},</v>
      </c>
      <c r="K7" s="1" t="str">
        <f t="shared" si="2"/>
        <v>{"field":"create_time","labelRegexp":"记录创建时间","excelRangeType":"table"},</v>
      </c>
      <c r="L7" s="1" t="str">
        <f t="shared" si="3"/>
        <v>{"field":"create_time","width":150},</v>
      </c>
    </row>
    <row r="8" spans="1:14" ht="16.5">
      <c r="A8" s="3" t="s">
        <v>42</v>
      </c>
      <c r="B8" s="21" t="s">
        <v>43</v>
      </c>
      <c r="C8" s="21">
        <v>25</v>
      </c>
      <c r="D8" s="3" t="s">
        <v>24</v>
      </c>
      <c r="E8" s="3" t="s">
        <v>52</v>
      </c>
      <c r="F8" s="3"/>
      <c r="G8" s="11" t="s">
        <v>57</v>
      </c>
      <c r="H8" s="11" t="s">
        <v>57</v>
      </c>
      <c r="I8" s="22" t="str">
        <f t="shared" si="0"/>
        <v>create_user varchar(25) NOT NULL ,</v>
      </c>
      <c r="J8" s="1" t="str">
        <f t="shared" si="1"/>
        <v>{"field":"create_user","name":"记录创建人","dataType":"varchar"},</v>
      </c>
      <c r="K8" s="1" t="str">
        <f t="shared" si="2"/>
        <v>{"field":"create_user","labelRegexp":"记录创建人","excelRangeType":"table"},</v>
      </c>
      <c r="L8" s="1" t="str">
        <f t="shared" si="3"/>
        <v>{"field":"create_user","width":150},</v>
      </c>
    </row>
    <row r="9" spans="1:14" ht="16.5">
      <c r="A9" s="3" t="s">
        <v>53</v>
      </c>
      <c r="B9" s="3" t="s">
        <v>50</v>
      </c>
      <c r="C9" s="3">
        <v>0</v>
      </c>
      <c r="D9" s="3" t="s">
        <v>24</v>
      </c>
      <c r="E9" s="3" t="s">
        <v>52</v>
      </c>
      <c r="F9" s="3"/>
      <c r="G9" s="11" t="s">
        <v>58</v>
      </c>
      <c r="H9" s="11" t="s">
        <v>58</v>
      </c>
      <c r="I9" s="22" t="str">
        <f t="shared" si="0"/>
        <v>update_time datetime(0) NOT NULL ,</v>
      </c>
      <c r="J9" s="1" t="str">
        <f t="shared" si="1"/>
        <v>{"field":"update_time","name":"记录更新时间","dataType":"datetime"},</v>
      </c>
      <c r="K9" s="1" t="str">
        <f t="shared" si="2"/>
        <v>{"field":"update_time","labelRegexp":"记录更新时间","excelRangeType":"table"},</v>
      </c>
      <c r="L9" s="1" t="str">
        <f t="shared" si="3"/>
        <v>{"field":"update_time","width":150},</v>
      </c>
    </row>
    <row r="10" spans="1:14" ht="16.5">
      <c r="A10" s="3" t="s">
        <v>54</v>
      </c>
      <c r="B10" s="21" t="s">
        <v>43</v>
      </c>
      <c r="C10" s="21">
        <v>25</v>
      </c>
      <c r="D10" s="3" t="s">
        <v>24</v>
      </c>
      <c r="E10" s="3" t="s">
        <v>52</v>
      </c>
      <c r="F10" s="3"/>
      <c r="G10" s="11" t="s">
        <v>59</v>
      </c>
      <c r="H10" s="11" t="s">
        <v>59</v>
      </c>
      <c r="I10" s="22" t="str">
        <f t="shared" si="0"/>
        <v>update_user varchar(25) NOT NULL ,</v>
      </c>
      <c r="J10" s="1" t="str">
        <f t="shared" si="1"/>
        <v>{"field":"update_user","name":"记录更新人","dataType":"varchar"},</v>
      </c>
      <c r="K10" s="1" t="str">
        <f t="shared" si="2"/>
        <v>{"field":"update_user","labelRegexp":"记录更新人","excelRangeType":"table"},</v>
      </c>
      <c r="L10" s="1" t="str">
        <f t="shared" si="3"/>
        <v>{"field":"update_user","width":150},</v>
      </c>
    </row>
    <row r="11" spans="1:14" ht="16.5">
      <c r="A11" s="3" t="s">
        <v>25</v>
      </c>
      <c r="B11" s="3" t="s">
        <v>41</v>
      </c>
      <c r="C11" s="3">
        <v>11</v>
      </c>
      <c r="D11" s="3" t="s">
        <v>24</v>
      </c>
      <c r="E11" s="3" t="s">
        <v>52</v>
      </c>
      <c r="F11" s="3" t="s">
        <v>55</v>
      </c>
      <c r="G11" s="3" t="s">
        <v>60</v>
      </c>
      <c r="H11" s="3" t="s">
        <v>60</v>
      </c>
      <c r="I11" s="22" t="str">
        <f t="shared" si="0"/>
        <v>version int(11) NOT NULL DEFAULT 0,</v>
      </c>
      <c r="J11" s="1" t="str">
        <f t="shared" si="1"/>
        <v>{"field":"version","name":"数据版本号","dataType":"int"},</v>
      </c>
      <c r="K11" s="1" t="str">
        <f t="shared" si="2"/>
        <v>{"field":"version","labelRegexp":"数据版本号","excelRangeType":"table"},</v>
      </c>
      <c r="L11" s="1" t="str">
        <f t="shared" si="3"/>
        <v>{"field":"version","width":150},</v>
      </c>
    </row>
    <row r="12" spans="1:14">
      <c r="I12" s="1" t="str">
        <f>"PRIMARY KEY (`id`) USING BTREE)"</f>
        <v>PRIMARY KEY (`id`) USING BTREE)</v>
      </c>
    </row>
  </sheetData>
  <mergeCells count="1">
    <mergeCell ref="D1:E1"/>
  </mergeCells>
  <phoneticPr fontId="14" type="noConversion"/>
  <hyperlinks>
    <hyperlink ref="N1" location="目录!A1" display="目录" xr:uid="{00000000-0004-0000-1100-000000000000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14"/>
  <sheetViews>
    <sheetView view="pageBreakPreview" zoomScale="115" zoomScaleNormal="100" zoomScaleSheetLayoutView="115" workbookViewId="0">
      <selection activeCell="B9" sqref="B9"/>
    </sheetView>
  </sheetViews>
  <sheetFormatPr defaultColWidth="9" defaultRowHeight="14.25"/>
  <cols>
    <col min="1" max="1" width="20" style="1" customWidth="1"/>
    <col min="2" max="2" width="20.75" style="1" customWidth="1"/>
    <col min="3" max="3" width="14.375" style="1" customWidth="1"/>
    <col min="4" max="4" width="6.375" style="1" customWidth="1"/>
    <col min="5" max="5" width="13.875" style="1" customWidth="1"/>
    <col min="6" max="6" width="12.25" style="1" customWidth="1"/>
    <col min="7" max="7" width="12.625" style="1" customWidth="1"/>
    <col min="8" max="8" width="19.875" style="1" customWidth="1"/>
    <col min="9" max="9" width="9" style="1"/>
    <col min="10" max="10" width="18.375" style="1" customWidth="1"/>
    <col min="11" max="16384" width="9" style="1"/>
  </cols>
  <sheetData>
    <row r="1" spans="1:10" ht="16.5">
      <c r="A1" s="2" t="s">
        <v>13</v>
      </c>
      <c r="B1" s="3" t="s">
        <v>37</v>
      </c>
      <c r="C1" s="2" t="s">
        <v>14</v>
      </c>
      <c r="D1" s="66" t="s">
        <v>38</v>
      </c>
      <c r="E1" s="61"/>
      <c r="F1" s="61"/>
      <c r="G1" s="2" t="s">
        <v>10</v>
      </c>
      <c r="H1" s="3">
        <v>1</v>
      </c>
      <c r="J1" s="7" t="s">
        <v>8</v>
      </c>
    </row>
    <row r="2" spans="1:10">
      <c r="A2" s="4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9</v>
      </c>
    </row>
    <row r="3" spans="1:10" ht="16.5">
      <c r="A3" s="3" t="s">
        <v>39</v>
      </c>
      <c r="B3" s="3" t="s">
        <v>33</v>
      </c>
      <c r="C3" s="3"/>
      <c r="D3" s="3"/>
      <c r="E3" s="3" t="s">
        <v>24</v>
      </c>
      <c r="F3" s="3" t="s">
        <v>23</v>
      </c>
      <c r="G3" s="3"/>
      <c r="H3" s="5" t="s">
        <v>40</v>
      </c>
    </row>
    <row r="4" spans="1:10" ht="16.5">
      <c r="A4" s="3" t="s">
        <v>25</v>
      </c>
      <c r="B4" s="3" t="s">
        <v>41</v>
      </c>
      <c r="C4" s="3"/>
      <c r="D4" s="3"/>
      <c r="E4" s="3" t="s">
        <v>24</v>
      </c>
      <c r="F4" s="3" t="s">
        <v>24</v>
      </c>
      <c r="G4" s="3"/>
      <c r="H4" s="5" t="s">
        <v>26</v>
      </c>
    </row>
    <row r="5" spans="1:10" ht="16.5">
      <c r="A5" s="3" t="s">
        <v>42</v>
      </c>
      <c r="B5" s="3" t="s">
        <v>43</v>
      </c>
      <c r="C5" s="3">
        <v>32</v>
      </c>
      <c r="D5" s="3"/>
      <c r="E5" s="3" t="s">
        <v>24</v>
      </c>
      <c r="F5" s="3" t="s">
        <v>24</v>
      </c>
      <c r="G5" s="3"/>
      <c r="H5" s="5" t="s">
        <v>27</v>
      </c>
    </row>
    <row r="6" spans="1:10" ht="16.5">
      <c r="A6" s="3" t="s">
        <v>44</v>
      </c>
      <c r="B6" s="3" t="s">
        <v>45</v>
      </c>
      <c r="C6" s="3"/>
      <c r="D6" s="3"/>
      <c r="E6" s="3" t="s">
        <v>24</v>
      </c>
      <c r="F6" s="3" t="s">
        <v>24</v>
      </c>
      <c r="G6" s="3"/>
      <c r="H6" s="5" t="s">
        <v>28</v>
      </c>
    </row>
    <row r="7" spans="1:10" ht="16.5">
      <c r="A7" s="3" t="s">
        <v>46</v>
      </c>
      <c r="B7" s="3" t="s">
        <v>43</v>
      </c>
      <c r="C7" s="3">
        <v>32</v>
      </c>
      <c r="D7" s="3"/>
      <c r="E7" s="3" t="s">
        <v>24</v>
      </c>
      <c r="F7" s="3" t="s">
        <v>24</v>
      </c>
      <c r="G7" s="3"/>
      <c r="H7" s="5" t="s">
        <v>29</v>
      </c>
    </row>
    <row r="8" spans="1:10" ht="16.5">
      <c r="A8" s="3" t="s">
        <v>47</v>
      </c>
      <c r="B8" s="3" t="s">
        <v>45</v>
      </c>
      <c r="C8" s="3"/>
      <c r="D8" s="3"/>
      <c r="E8" s="3" t="s">
        <v>24</v>
      </c>
      <c r="F8" s="3" t="s">
        <v>24</v>
      </c>
      <c r="G8" s="3"/>
      <c r="H8" s="5" t="s">
        <v>30</v>
      </c>
    </row>
    <row r="9" spans="1:10" ht="16.5">
      <c r="A9" s="3" t="s">
        <v>32</v>
      </c>
      <c r="B9" s="3" t="s">
        <v>33</v>
      </c>
      <c r="C9" s="3"/>
      <c r="D9" s="3"/>
      <c r="E9" s="3" t="s">
        <v>24</v>
      </c>
      <c r="F9" s="3" t="s">
        <v>24</v>
      </c>
      <c r="G9" s="3"/>
      <c r="H9" s="5" t="s">
        <v>48</v>
      </c>
    </row>
    <row r="10" spans="1:10">
      <c r="A10" s="3"/>
      <c r="B10" s="3"/>
      <c r="C10" s="3"/>
      <c r="D10" s="3"/>
      <c r="E10" s="3"/>
      <c r="F10" s="3"/>
      <c r="G10" s="3"/>
      <c r="H10" s="3"/>
      <c r="I10" s="10"/>
    </row>
    <row r="11" spans="1:10">
      <c r="A11" s="3"/>
      <c r="B11" s="3"/>
      <c r="C11" s="3"/>
      <c r="D11" s="3"/>
      <c r="E11" s="3"/>
      <c r="F11" s="3"/>
      <c r="G11" s="3"/>
      <c r="H11" s="3"/>
    </row>
    <row r="12" spans="1:10">
      <c r="B12" s="8"/>
      <c r="C12" s="8"/>
      <c r="D12" s="8"/>
      <c r="E12" s="8"/>
      <c r="F12" s="8"/>
      <c r="G12" s="8"/>
    </row>
    <row r="13" spans="1:10" ht="16.5">
      <c r="A13" s="2" t="s">
        <v>34</v>
      </c>
      <c r="B13" s="67" t="s">
        <v>35</v>
      </c>
      <c r="C13" s="67"/>
      <c r="D13" s="67"/>
      <c r="E13" s="67"/>
      <c r="F13" s="9" t="s">
        <v>36</v>
      </c>
      <c r="G13" s="9" t="s">
        <v>9</v>
      </c>
    </row>
    <row r="14" spans="1:10">
      <c r="A14" s="3"/>
      <c r="B14" s="68"/>
      <c r="C14" s="68"/>
      <c r="D14" s="68"/>
      <c r="E14" s="68"/>
      <c r="F14" s="6"/>
      <c r="G14" s="6"/>
    </row>
  </sheetData>
  <mergeCells count="3">
    <mergeCell ref="D1:F1"/>
    <mergeCell ref="B13:E13"/>
    <mergeCell ref="B14:E14"/>
  </mergeCells>
  <phoneticPr fontId="12" type="noConversion"/>
  <hyperlinks>
    <hyperlink ref="J1" location="目录!A1" display="目录" xr:uid="{00000000-0004-0000-1200-000000000000}"/>
  </hyperlinks>
  <pageMargins left="0.7" right="0.7" top="0.75" bottom="0.75" header="0.3" footer="0.3"/>
  <pageSetup paperSize="9" scale="5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20</vt:i4>
      </vt:variant>
      <vt:variant>
        <vt:lpstr>命名范围</vt:lpstr>
      </vt:variant>
      <vt:variant>
        <vt:i4>3</vt:i4>
      </vt:variant>
    </vt:vector>
  </HeadingPairs>
  <TitlesOfParts>
    <vt:vector size="23" baseType="lpstr">
      <vt:lpstr>概要</vt:lpstr>
      <vt:lpstr>目录</vt:lpstr>
      <vt:lpstr>sl_person</vt:lpstr>
      <vt:lpstr>sl_lock_authorization</vt:lpstr>
      <vt:lpstr>sl_lock_authorization_sl_person</vt:lpstr>
      <vt:lpstr>sl_lock_sl_lock_authorization</vt:lpstr>
      <vt:lpstr>sl_application_sl_key_authoriza</vt:lpstr>
      <vt:lpstr>sl_key_authorization</vt:lpstr>
      <vt:lpstr>sl_application_sl_person</vt:lpstr>
      <vt:lpstr>sl_application_sl_lock</vt:lpstr>
      <vt:lpstr>sl_application</vt:lpstr>
      <vt:lpstr>sl_lock_status_record</vt:lpstr>
      <vt:lpstr>sl_lock</vt:lpstr>
      <vt:lpstr>sl_lock_hub</vt:lpstr>
      <vt:lpstr>sl_key_controller</vt:lpstr>
      <vt:lpstr>sl_key</vt:lpstr>
      <vt:lpstr>sl_area_type</vt:lpstr>
      <vt:lpstr>ER图</vt:lpstr>
      <vt:lpstr>sl_room</vt:lpstr>
      <vt:lpstr>field</vt:lpstr>
      <vt:lpstr>field!Print_Area</vt:lpstr>
      <vt:lpstr>sl_person!Print_Area</vt:lpstr>
      <vt:lpstr>目录!Print_Area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xingyue wang</cp:lastModifiedBy>
  <dcterms:created xsi:type="dcterms:W3CDTF">2015-06-05T18:19:00Z</dcterms:created>
  <dcterms:modified xsi:type="dcterms:W3CDTF">2023-04-05T05:20:48Z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